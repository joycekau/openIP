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 (Year 1)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Cash Flow (monthly)" sheetId="5" state="visible" r:id="rId5"/>
    <sheet xmlns:r="http://schemas.openxmlformats.org/officeDocument/2006/relationships" name="3-Year Proj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M#,##0;(RM#,##0);&quot;-&quot;"/>
    <numFmt numFmtId="165" formatCode="0.0%"/>
    <numFmt numFmtId="166" formatCode="0.0&quot;x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  <sz val="11"/>
    </font>
    <font>
      <name val="Arial"/>
      <color rgb="000000FF"/>
    </font>
    <font>
      <name val="Arial"/>
      <color rgb="00999999"/>
      <sz val="8"/>
    </font>
    <font>
      <name val="Arial"/>
      <b val="1"/>
      <color rgb="00FFFFFF"/>
    </font>
    <font>
      <name val="Arial"/>
      <b val="1"/>
    </font>
    <font>
      <name val="Arial"/>
      <color rgb="00000000"/>
    </font>
    <font>
      <name val="Arial"/>
      <i val="1"/>
      <color rgb="00777777"/>
      <sz val="8"/>
    </font>
    <font>
      <name val="Arial"/>
      <color rgb="00008000"/>
    </font>
    <font>
      <name val="Arial"/>
      <i val="1"/>
      <color rgb="00777777"/>
      <sz val="9"/>
    </font>
  </fonts>
  <fills count="7">
    <fill>
      <patternFill/>
    </fill>
    <fill>
      <patternFill patternType="gray125"/>
    </fill>
    <fill>
      <patternFill patternType="solid">
        <fgColor rgb="001B1232"/>
      </patternFill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3" fontId="4" fillId="3" borderId="0" pivotButton="0" quotePrefix="0" xfId="0"/>
    <xf numFmtId="166" fontId="4" fillId="3" borderId="0" pivotButton="0" quotePrefix="0" xfId="0"/>
    <xf numFmtId="165" fontId="4" fillId="3" borderId="0" pivotButton="0" quotePrefix="0" xfId="0"/>
    <xf numFmtId="164" fontId="4" fillId="3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right"/>
    </xf>
    <xf numFmtId="0" fontId="7" fillId="4" borderId="0" pivotButton="0" quotePrefix="0" xfId="0"/>
    <xf numFmtId="3" fontId="8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4" fontId="7" fillId="5" borderId="0" applyAlignment="1" pivotButton="0" quotePrefix="0" xfId="0">
      <alignment horizontal="right"/>
    </xf>
    <xf numFmtId="0" fontId="9" fillId="0" borderId="0" pivotButton="0" quotePrefix="0" xfId="0"/>
    <xf numFmtId="165" fontId="10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166" fontId="7" fillId="6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3" fontId="7" fillId="6" borderId="0" applyAlignment="1" pivotButton="0" quotePrefix="0" xfId="0">
      <alignment horizontal="right"/>
    </xf>
    <xf numFmtId="0" fontId="11" fillId="0" borderId="0" pivotButton="0" quotePrefix="0" xfId="0"/>
    <xf numFmtId="3" fontId="4" fillId="3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164" fontId="7" fillId="4" borderId="0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wrapText="1"/>
    </xf>
    <xf numFmtId="164" fontId="4" fillId="3" borderId="0" applyAlignment="1" pivotButton="0" quotePrefix="0" xfId="0">
      <alignment horizontal="right"/>
    </xf>
    <xf numFmtId="165" fontId="4" fillId="3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5" fontId="7" fillId="6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B1" s="1" t="inlineStr">
        <is>
          <t>AI Academy + AI Tools + AI Film Studio — Financial Model / Business Case</t>
        </is>
      </c>
    </row>
    <row r="2">
      <c r="B2" s="2" t="inlineStr"/>
    </row>
    <row r="3">
      <c r="B3" s="2" t="inlineStr">
        <is>
          <t>PURPOSE — a working model of the OPC business: the course ladder, recurring AI-tool revenue, and the AI Film Studio.</t>
        </is>
      </c>
    </row>
    <row r="4">
      <c r="B4" s="2" t="inlineStr">
        <is>
          <t>Prepared 2026-07-28. Currency: MYR (RM). All figures ILLUSTRATIVE — edit the Assumptions tab and everything recomputes.</t>
        </is>
      </c>
    </row>
    <row r="5">
      <c r="B5" s="2" t="inlineStr"/>
    </row>
    <row r="6">
      <c r="B6" s="2" t="inlineStr">
        <is>
          <t>HOW TO USE</t>
        </is>
      </c>
    </row>
    <row r="7">
      <c r="B7" s="2" t="inlineStr">
        <is>
          <t>1) Open the 'Assumptions' tab. Cells in BLUE are inputs you can change; YELLOW cells are the scenario levers.</t>
        </is>
      </c>
    </row>
    <row r="8">
      <c r="B8" s="2" t="inlineStr">
        <is>
          <t>2) The 'P&amp;L (Year 1)' tab builds three scenarios (Conservative / Base / Aggressive) from those inputs.</t>
        </is>
      </c>
    </row>
    <row r="9">
      <c r="B9" s="2" t="inlineStr">
        <is>
          <t>3) The 'Unit Economics' tab shows value per intro buyer, LTV:CAC and break-even — the core decision metrics.</t>
        </is>
      </c>
    </row>
    <row r="10">
      <c r="B10" s="2" t="inlineStr"/>
    </row>
    <row r="11">
      <c r="B11" s="2" t="inlineStr">
        <is>
          <t>COLOUR KEY:  blue = input   ·   black = formula   ·   green = link to another sheet   ·   yellow = scenario lever.</t>
        </is>
      </c>
    </row>
    <row r="12">
      <c r="B12" s="2" t="inlineStr"/>
    </row>
    <row r="13">
      <c r="B13" s="2" t="inlineStr">
        <is>
          <t>KEY ASSUMPTIONS &amp; SOURCES</t>
        </is>
      </c>
    </row>
    <row r="14">
      <c r="B14" s="2" t="inlineStr">
        <is>
          <t xml:space="preserve"> • Pricing = our agreed ladder (Bootcamp RM3,999 / Certificate RM18k / Diploma RM32k / Mastery RM48k; intro RM299).</t>
        </is>
      </c>
    </row>
    <row r="15">
      <c r="B15" s="2" t="inlineStr">
        <is>
          <t xml:space="preserve"> • Conversion rates = our target ladder economics (intro→bootcamp 25%, bootcamp→cert 20%, cert→dip 35%, dip→mastery 35%).</t>
        </is>
      </c>
    </row>
    <row r="16">
      <c r="B16" s="2" t="inlineStr">
        <is>
          <t xml:space="preserve"> • Market benchmark (MY/SG 2026) informs pricing: MY workshops RM2–8k, diplomas RM15–30k, bachelor ~RM76.8k;</t>
        </is>
      </c>
    </row>
    <row r="17">
      <c r="B17" s="2" t="inlineStr">
        <is>
          <t xml:space="preserve">   SG short GenAI ~S$2,180 (Sources: drhariz.com, MDEC, Pertama Partners, Vertical Institute, SIT).</t>
        </is>
      </c>
    </row>
    <row r="18">
      <c r="B18" s="2" t="inlineStr">
        <is>
          <t xml:space="preserve"> • Cora AI Film Studio value prop: up to 80% cost reduction vs traditional → modelled at ~70% film gross margin.</t>
        </is>
      </c>
    </row>
    <row r="19">
      <c r="B19" s="2" t="inlineStr">
        <is>
          <t xml:space="preserve"> • Tool = individual Cora AI Gateway plan (RM99/mo assumed), ~70% B2C gross margin (per Cora pricing doc).</t>
        </is>
      </c>
    </row>
    <row r="20">
      <c r="B20" s="2" t="inlineStr">
        <is>
          <t xml:space="preserve"> • Long programs (Cert/Diploma/Mastery) recognised over their delivery period — see 'Yr-1 recognition %' inputs.</t>
        </is>
      </c>
    </row>
    <row r="21">
      <c r="B21" s="2" t="inlineStr">
        <is>
          <t xml:space="preserve"> • RECOGNISED revenue (delivery-based) is the P&amp;L basis; BOOKINGS (full contract value) shown as a memo line.</t>
        </is>
      </c>
    </row>
    <row r="22">
      <c r="B22" s="2" t="inlineStr"/>
    </row>
    <row r="23">
      <c r="B23" s="2" t="inlineStr">
        <is>
          <t>CAVEAT: Volumes, conversion and cost inputs are planning estimates, not commitments. Replace with real cohort data after Q3 pilots.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ASSUMPTIONS  (blue = input · yellow = scenario lever)</t>
        </is>
      </c>
    </row>
    <row r="3">
      <c r="A3" s="4" t="inlineStr">
        <is>
          <t>PRICING (RM)</t>
        </is>
      </c>
      <c r="B3" s="5" t="n"/>
      <c r="C3" s="5" t="n"/>
      <c r="D3" s="5" t="n"/>
      <c r="E3" s="5" t="n"/>
      <c r="F3" s="5" t="n"/>
      <c r="G3" s="5" t="n"/>
    </row>
    <row r="4">
      <c r="A4" s="6" t="inlineStr">
        <is>
          <t>Intro / Discovery price</t>
        </is>
      </c>
      <c r="B4" s="7" t="n">
        <v>299</v>
      </c>
    </row>
    <row r="5">
      <c r="A5" s="6" t="inlineStr">
        <is>
          <t>Bootcamp — Professionals (S2)</t>
        </is>
      </c>
      <c r="B5" s="7" t="n">
        <v>3999</v>
      </c>
    </row>
    <row r="6">
      <c r="A6" s="6" t="inlineStr">
        <is>
          <t>Bootcamp — Graduates (S1)</t>
        </is>
      </c>
      <c r="B6" s="7" t="n">
        <v>1799</v>
      </c>
    </row>
    <row r="7">
      <c r="A7" s="6" t="inlineStr">
        <is>
          <t>Bootcamp — % Professionals (S2)</t>
        </is>
      </c>
      <c r="B7" s="8" t="n">
        <v>0.55</v>
      </c>
    </row>
    <row r="8">
      <c r="A8" s="6" t="inlineStr">
        <is>
          <t>Certificate — Professionals (S2)</t>
        </is>
      </c>
      <c r="B8" s="7" t="n">
        <v>18000</v>
      </c>
    </row>
    <row r="9">
      <c r="A9" s="6" t="inlineStr">
        <is>
          <t>Certificate — Graduates (S1)</t>
        </is>
      </c>
      <c r="B9" s="7" t="n">
        <v>12000</v>
      </c>
    </row>
    <row r="10">
      <c r="A10" s="6" t="inlineStr">
        <is>
          <t>Certificate — % Professionals (S2)</t>
        </is>
      </c>
      <c r="B10" s="8" t="n">
        <v>0.45</v>
      </c>
    </row>
    <row r="11">
      <c r="A11" s="6" t="inlineStr">
        <is>
          <t>Diploma (2 yr)</t>
        </is>
      </c>
      <c r="B11" s="7" t="n">
        <v>32000</v>
      </c>
    </row>
    <row r="12">
      <c r="A12" s="6" t="inlineStr">
        <is>
          <t>Mastery / Founder Track (4 yr)</t>
        </is>
      </c>
      <c r="B12" s="7" t="n">
        <v>48000</v>
      </c>
    </row>
    <row r="13">
      <c r="A13" s="6" t="inlineStr">
        <is>
          <t>Tool plan — Cora AI Gateway (RM/mo)</t>
        </is>
      </c>
      <c r="B13" s="7" t="n">
        <v>99</v>
      </c>
    </row>
    <row r="14">
      <c r="A14" s="4" t="inlineStr">
        <is>
          <t>LADDER CONVERSION (base rates)</t>
        </is>
      </c>
      <c r="B14" s="5" t="n"/>
      <c r="C14" s="5" t="n"/>
      <c r="D14" s="5" t="n"/>
      <c r="E14" s="5" t="n"/>
      <c r="F14" s="5" t="n"/>
      <c r="G14" s="5" t="n"/>
    </row>
    <row r="15">
      <c r="A15" s="6" t="inlineStr">
        <is>
          <t>Intro → Bootcamp</t>
        </is>
      </c>
      <c r="B15" s="8" t="n">
        <v>0.25</v>
      </c>
    </row>
    <row r="16">
      <c r="A16" s="6" t="inlineStr">
        <is>
          <t>Bootcamp → Certificate</t>
        </is>
      </c>
      <c r="B16" s="8" t="n">
        <v>0.2</v>
      </c>
    </row>
    <row r="17">
      <c r="A17" s="6" t="inlineStr">
        <is>
          <t>Certificate → Diploma</t>
        </is>
      </c>
      <c r="B17" s="8" t="n">
        <v>0.35</v>
      </c>
    </row>
    <row r="18">
      <c r="A18" s="6" t="inlineStr">
        <is>
          <t>Diploma → Mastery</t>
        </is>
      </c>
      <c r="B18" s="8" t="n">
        <v>0.35</v>
      </c>
    </row>
    <row r="19">
      <c r="A19" s="4" t="inlineStr">
        <is>
          <t>TOOLS &amp; FILM</t>
        </is>
      </c>
      <c r="B19" s="5" t="n"/>
      <c r="C19" s="5" t="n"/>
      <c r="D19" s="5" t="n"/>
      <c r="E19" s="5" t="n"/>
      <c r="F19" s="5" t="n"/>
      <c r="G19" s="5" t="n"/>
    </row>
    <row r="20">
      <c r="A20" s="6" t="inlineStr">
        <is>
          <t>Tool avg paying months (Year 1)</t>
        </is>
      </c>
      <c r="B20" s="9" t="n">
        <v>6</v>
      </c>
    </row>
    <row r="21">
      <c r="A21" s="6" t="inlineStr">
        <is>
          <t>Tool lifetime months (for LTV)</t>
        </is>
      </c>
      <c r="B21" s="9" t="n">
        <v>18</v>
      </c>
    </row>
    <row r="22">
      <c r="A22" s="6" t="inlineStr">
        <is>
          <t>Tool gross margin</t>
        </is>
      </c>
      <c r="B22" s="8" t="n">
        <v>0.7</v>
      </c>
    </row>
    <row r="23">
      <c r="A23" s="10" t="inlineStr">
        <is>
          <t>(row 23 intentionally blank)</t>
        </is>
      </c>
    </row>
    <row r="24">
      <c r="A24" s="6" t="inlineStr">
        <is>
          <t>Avg film price (DFY)</t>
        </is>
      </c>
      <c r="B24" s="7" t="n">
        <v>50000</v>
      </c>
    </row>
    <row r="25">
      <c r="A25" s="6" t="inlineStr">
        <is>
          <t>Film gross margin (AI, ~80% cheaper)</t>
        </is>
      </c>
      <c r="B25" s="8" t="n">
        <v>0.7</v>
      </c>
    </row>
    <row r="26">
      <c r="A26" s="4" t="inlineStr">
        <is>
          <t>COSTS</t>
        </is>
      </c>
      <c r="B26" s="5" t="n"/>
      <c r="C26" s="5" t="n"/>
      <c r="D26" s="5" t="n"/>
      <c r="E26" s="5" t="n"/>
      <c r="F26" s="5" t="n"/>
      <c r="G26" s="5" t="n"/>
    </row>
    <row r="27">
      <c r="A27" s="6" t="inlineStr">
        <is>
          <t>Course delivery COGS (% of course rev)</t>
        </is>
      </c>
      <c r="B27" s="8" t="n">
        <v>0.35</v>
      </c>
    </row>
    <row r="28">
      <c r="A28" s="6" t="inlineStr">
        <is>
          <t>Brand / content marketing (fixed, /yr)</t>
        </is>
      </c>
      <c r="B28" s="7" t="n">
        <v>100000</v>
      </c>
    </row>
    <row r="29">
      <c r="A29" s="6" t="inlineStr">
        <is>
          <t>Team salaries (/yr)</t>
        </is>
      </c>
      <c r="B29" s="7" t="n">
        <v>720000</v>
      </c>
    </row>
    <row r="30">
      <c r="A30" s="6" t="inlineStr">
        <is>
          <t>Software / LMS / CRM / payments (/yr)</t>
        </is>
      </c>
      <c r="B30" s="7" t="n">
        <v>120000</v>
      </c>
    </row>
    <row r="31">
      <c r="A31" s="6" t="inlineStr">
        <is>
          <t>Legal / compliance (film + ISA, /yr)</t>
        </is>
      </c>
      <c r="B31" s="7" t="n">
        <v>80000</v>
      </c>
    </row>
    <row r="32">
      <c r="A32" s="6" t="inlineStr">
        <is>
          <t>G&amp;A / misc (/yr)</t>
        </is>
      </c>
      <c r="B32" s="7" t="n">
        <v>100000</v>
      </c>
    </row>
    <row r="33">
      <c r="A33" s="4" t="inlineStr">
        <is>
          <t>YEAR-1 REVENUE RECOGNITION (share delivered in Year 1)</t>
        </is>
      </c>
      <c r="B33" s="5" t="n"/>
      <c r="C33" s="5" t="n"/>
      <c r="D33" s="5" t="n"/>
      <c r="E33" s="5" t="n"/>
      <c r="F33" s="5" t="n"/>
      <c r="G33" s="5" t="n"/>
    </row>
    <row r="34">
      <c r="A34" s="6" t="inlineStr">
        <is>
          <t>Intro</t>
        </is>
      </c>
      <c r="B34" s="8" t="n">
        <v>1</v>
      </c>
    </row>
    <row r="35">
      <c r="A35" s="6" t="inlineStr">
        <is>
          <t>Bootcamp</t>
        </is>
      </c>
      <c r="B35" s="8" t="n">
        <v>1</v>
      </c>
    </row>
    <row r="36">
      <c r="A36" s="6" t="inlineStr">
        <is>
          <t>Certificate</t>
        </is>
      </c>
      <c r="B36" s="8" t="n">
        <v>0.5</v>
      </c>
    </row>
    <row r="37">
      <c r="A37" s="6" t="inlineStr">
        <is>
          <t>Diploma</t>
        </is>
      </c>
      <c r="B37" s="8" t="n">
        <v>0.25</v>
      </c>
    </row>
    <row r="38">
      <c r="A38" s="6" t="inlineStr">
        <is>
          <t>Mastery</t>
        </is>
      </c>
      <c r="B38" s="8" t="n">
        <v>0.125</v>
      </c>
    </row>
    <row r="40">
      <c r="D40" s="4" t="inlineStr">
        <is>
          <t>SCENARIO LEVERS</t>
        </is>
      </c>
      <c r="E40" s="4" t="inlineStr">
        <is>
          <t>Conservative</t>
        </is>
      </c>
      <c r="F40" s="4" t="inlineStr">
        <is>
          <t>Base</t>
        </is>
      </c>
      <c r="G40" s="4" t="inlineStr">
        <is>
          <t>Aggressive</t>
        </is>
      </c>
    </row>
    <row r="41">
      <c r="D41" s="6" t="inlineStr">
        <is>
          <t>Intro buyers (Year 1)</t>
        </is>
      </c>
      <c r="E41" s="11" t="n">
        <v>1000</v>
      </c>
      <c r="F41" s="11" t="n">
        <v>2000</v>
      </c>
      <c r="G41" s="11" t="n">
        <v>4000</v>
      </c>
    </row>
    <row r="42">
      <c r="D42" s="6" t="inlineStr">
        <is>
          <t>Conversion multiplier</t>
        </is>
      </c>
      <c r="E42" s="12" t="n">
        <v>0.7</v>
      </c>
      <c r="F42" s="12" t="n">
        <v>1</v>
      </c>
      <c r="G42" s="12" t="n">
        <v>1.2</v>
      </c>
    </row>
    <row r="43">
      <c r="D43" s="6" t="inlineStr">
        <is>
          <t>Films delivered (Year 1)</t>
        </is>
      </c>
      <c r="E43" s="11" t="n">
        <v>4</v>
      </c>
      <c r="F43" s="11" t="n">
        <v>8</v>
      </c>
      <c r="G43" s="11" t="n">
        <v>15</v>
      </c>
    </row>
    <row r="44">
      <c r="D44" s="6" t="inlineStr">
        <is>
          <t>Tool paid-conversion</t>
        </is>
      </c>
      <c r="E44" s="13" t="n">
        <v>0.3</v>
      </c>
      <c r="F44" s="13" t="n">
        <v>0.4</v>
      </c>
      <c r="G44" s="13" t="n">
        <v>0.5</v>
      </c>
    </row>
    <row r="45">
      <c r="D45" s="6" t="inlineStr">
        <is>
          <t>CAC per intro (RM)</t>
        </is>
      </c>
      <c r="E45" s="14" t="n">
        <v>200</v>
      </c>
      <c r="F45" s="14" t="n">
        <v>150</v>
      </c>
      <c r="G45" s="14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P&amp;L — YEAR 1 (recognised basis, RM)</t>
        </is>
      </c>
    </row>
    <row r="3">
      <c r="A3" s="15" t="inlineStr">
        <is>
          <t>Line item (RM)</t>
        </is>
      </c>
      <c r="B3" s="16" t="inlineStr">
        <is>
          <t>Conservative</t>
        </is>
      </c>
      <c r="C3" s="16" t="inlineStr">
        <is>
          <t>Base</t>
        </is>
      </c>
      <c r="D3" s="16" t="inlineStr">
        <is>
          <t>Aggressive</t>
        </is>
      </c>
    </row>
    <row r="4">
      <c r="A4" s="17" t="inlineStr">
        <is>
          <t>Volumes</t>
        </is>
      </c>
    </row>
    <row r="5">
      <c r="A5" s="6" t="inlineStr">
        <is>
          <t xml:space="preserve">  Intro buyers</t>
        </is>
      </c>
      <c r="B5" s="18">
        <f>Assumptions!E41</f>
        <v/>
      </c>
      <c r="C5" s="18">
        <f>Assumptions!F41</f>
        <v/>
      </c>
      <c r="D5" s="18">
        <f>Assumptions!G41</f>
        <v/>
      </c>
    </row>
    <row r="6">
      <c r="A6" s="6" t="inlineStr">
        <is>
          <t xml:space="preserve">  Bootcamp students</t>
        </is>
      </c>
      <c r="B6" s="18">
        <f>B5*Assumptions!$B$15*Assumptions!E42</f>
        <v/>
      </c>
      <c r="C6" s="18">
        <f>C5*Assumptions!$B$15*Assumptions!F42</f>
        <v/>
      </c>
      <c r="D6" s="18">
        <f>D5*Assumptions!$B$15*Assumptions!G42</f>
        <v/>
      </c>
    </row>
    <row r="7">
      <c r="A7" s="6" t="inlineStr">
        <is>
          <t xml:space="preserve">  Certificate students</t>
        </is>
      </c>
      <c r="B7" s="18">
        <f>B6*Assumptions!$B$16*Assumptions!E42</f>
        <v/>
      </c>
      <c r="C7" s="18">
        <f>C6*Assumptions!$B$16*Assumptions!F42</f>
        <v/>
      </c>
      <c r="D7" s="18">
        <f>D6*Assumptions!$B$16*Assumptions!G42</f>
        <v/>
      </c>
    </row>
    <row r="8">
      <c r="A8" s="6" t="inlineStr">
        <is>
          <t xml:space="preserve">  Diploma students</t>
        </is>
      </c>
      <c r="B8" s="18">
        <f>B7*Assumptions!$B$17*Assumptions!E42</f>
        <v/>
      </c>
      <c r="C8" s="18">
        <f>C7*Assumptions!$B$17*Assumptions!F42</f>
        <v/>
      </c>
      <c r="D8" s="18">
        <f>D7*Assumptions!$B$17*Assumptions!G42</f>
        <v/>
      </c>
    </row>
    <row r="9">
      <c r="A9" s="6" t="inlineStr">
        <is>
          <t xml:space="preserve">  Mastery students</t>
        </is>
      </c>
      <c r="B9" s="18">
        <f>B8*Assumptions!$B$18*Assumptions!E42</f>
        <v/>
      </c>
      <c r="C9" s="18">
        <f>C8*Assumptions!$B$18*Assumptions!F42</f>
        <v/>
      </c>
      <c r="D9" s="18">
        <f>D8*Assumptions!$B$18*Assumptions!G42</f>
        <v/>
      </c>
    </row>
    <row r="11">
      <c r="A11" s="17" t="inlineStr">
        <is>
          <t>Revenue — recognised</t>
        </is>
      </c>
    </row>
    <row r="12">
      <c r="A12" s="6" t="inlineStr">
        <is>
          <t xml:space="preserve">  Intro</t>
        </is>
      </c>
      <c r="B12" s="19">
        <f>B5*Assumptions!$B$4*Assumptions!$B$34</f>
        <v/>
      </c>
      <c r="C12" s="19">
        <f>C5*Assumptions!$B$4*Assumptions!$B$34</f>
        <v/>
      </c>
      <c r="D12" s="19">
        <f>D5*Assumptions!$B$4*Assumptions!$B$34</f>
        <v/>
      </c>
    </row>
    <row r="13">
      <c r="A13" s="6" t="inlineStr">
        <is>
          <t xml:space="preserve">  Bootcamp</t>
        </is>
      </c>
      <c r="B13" s="19">
        <f>B6*(Assumptions!$B$5*Assumptions!$B$7+Assumptions!$B$6*(1-Assumptions!$B$7))*Assumptions!$B$35</f>
        <v/>
      </c>
      <c r="C13" s="19">
        <f>C6*(Assumptions!$B$5*Assumptions!$B$7+Assumptions!$B$6*(1-Assumptions!$B$7))*Assumptions!$B$35</f>
        <v/>
      </c>
      <c r="D13" s="19">
        <f>D6*(Assumptions!$B$5*Assumptions!$B$7+Assumptions!$B$6*(1-Assumptions!$B$7))*Assumptions!$B$35</f>
        <v/>
      </c>
    </row>
    <row r="14">
      <c r="A14" s="6" t="inlineStr">
        <is>
          <t xml:space="preserve">  Certificate</t>
        </is>
      </c>
      <c r="B14" s="19">
        <f>B7*(Assumptions!$B$8*Assumptions!$B$10+Assumptions!$B$9*(1-Assumptions!$B$10))*Assumptions!$B$36</f>
        <v/>
      </c>
      <c r="C14" s="19">
        <f>C7*(Assumptions!$B$8*Assumptions!$B$10+Assumptions!$B$9*(1-Assumptions!$B$10))*Assumptions!$B$36</f>
        <v/>
      </c>
      <c r="D14" s="19">
        <f>D7*(Assumptions!$B$8*Assumptions!$B$10+Assumptions!$B$9*(1-Assumptions!$B$10))*Assumptions!$B$36</f>
        <v/>
      </c>
    </row>
    <row r="15">
      <c r="A15" s="6" t="inlineStr">
        <is>
          <t xml:space="preserve">  Diploma</t>
        </is>
      </c>
      <c r="B15" s="19">
        <f>B8*Assumptions!$B$11*Assumptions!$B$37</f>
        <v/>
      </c>
      <c r="C15" s="19">
        <f>C8*Assumptions!$B$11*Assumptions!$B$37</f>
        <v/>
      </c>
      <c r="D15" s="19">
        <f>D8*Assumptions!$B$11*Assumptions!$B$37</f>
        <v/>
      </c>
    </row>
    <row r="16">
      <c r="A16" s="6" t="inlineStr">
        <is>
          <t xml:space="preserve">  Mastery</t>
        </is>
      </c>
      <c r="B16" s="19">
        <f>B9*Assumptions!$B$12*Assumptions!$B$38</f>
        <v/>
      </c>
      <c r="C16" s="19">
        <f>C9*Assumptions!$B$12*Assumptions!$B$38</f>
        <v/>
      </c>
      <c r="D16" s="19">
        <f>D9*Assumptions!$B$12*Assumptions!$B$38</f>
        <v/>
      </c>
    </row>
    <row r="17">
      <c r="A17" s="20" t="inlineStr">
        <is>
          <t xml:space="preserve">  Course revenue</t>
        </is>
      </c>
      <c r="B17" s="21">
        <f>SUM(B12:B16)</f>
        <v/>
      </c>
      <c r="C17" s="21">
        <f>SUM(C12:C16)</f>
        <v/>
      </c>
      <c r="D17" s="21">
        <f>SUM(D12:D16)</f>
        <v/>
      </c>
    </row>
    <row r="18">
      <c r="A18" s="6" t="inlineStr">
        <is>
          <t xml:space="preserve">  Tool revenue (recurring)</t>
        </is>
      </c>
      <c r="B18" s="19">
        <f>B6*Assumptions!E44*Assumptions!$B$20*Assumptions!$B$13</f>
        <v/>
      </c>
      <c r="C18" s="19">
        <f>C6*Assumptions!F44*Assumptions!$B$20*Assumptions!$B$13</f>
        <v/>
      </c>
      <c r="D18" s="19">
        <f>D6*Assumptions!G44*Assumptions!$B$20*Assumptions!$B$13</f>
        <v/>
      </c>
    </row>
    <row r="19">
      <c r="A19" s="6" t="inlineStr">
        <is>
          <t xml:space="preserve">  Film revenue (DFY)</t>
        </is>
      </c>
      <c r="B19" s="19">
        <f>Assumptions!E43*Assumptions!$B$24</f>
        <v/>
      </c>
      <c r="C19" s="19">
        <f>Assumptions!F43*Assumptions!$B$24</f>
        <v/>
      </c>
      <c r="D19" s="19">
        <f>Assumptions!G43*Assumptions!$B$24</f>
        <v/>
      </c>
    </row>
    <row r="20">
      <c r="A20" s="20" t="inlineStr">
        <is>
          <t xml:space="preserve">  TOTAL REVENUE</t>
        </is>
      </c>
      <c r="B20" s="21">
        <f>B17+B18+B19</f>
        <v/>
      </c>
      <c r="C20" s="21">
        <f>C17+C18+C19</f>
        <v/>
      </c>
      <c r="D20" s="21">
        <f>D17+D18+D19</f>
        <v/>
      </c>
    </row>
    <row r="22">
      <c r="A22" s="17" t="inlineStr">
        <is>
          <t>Cost of delivery (COGS)</t>
        </is>
      </c>
    </row>
    <row r="23">
      <c r="A23" s="6" t="inlineStr">
        <is>
          <t xml:space="preserve">  Course COGS</t>
        </is>
      </c>
      <c r="B23" s="19">
        <f>B17*Assumptions!$B$27</f>
        <v/>
      </c>
      <c r="C23" s="19">
        <f>C17*Assumptions!$B$27</f>
        <v/>
      </c>
      <c r="D23" s="19">
        <f>D17*Assumptions!$B$27</f>
        <v/>
      </c>
    </row>
    <row r="24">
      <c r="A24" s="6" t="inlineStr">
        <is>
          <t xml:space="preserve">  Tool COGS</t>
        </is>
      </c>
      <c r="B24" s="19">
        <f>B18*(1-Assumptions!$B$22)</f>
        <v/>
      </c>
      <c r="C24" s="19">
        <f>C18*(1-Assumptions!$B$22)</f>
        <v/>
      </c>
      <c r="D24" s="19">
        <f>D18*(1-Assumptions!$B$22)</f>
        <v/>
      </c>
    </row>
    <row r="25">
      <c r="A25" s="6" t="inlineStr">
        <is>
          <t xml:space="preserve">  Film COGS</t>
        </is>
      </c>
      <c r="B25" s="19">
        <f>B19*(1-Assumptions!$B$25)</f>
        <v/>
      </c>
      <c r="C25" s="19">
        <f>C19*(1-Assumptions!$B$25)</f>
        <v/>
      </c>
      <c r="D25" s="19">
        <f>D19*(1-Assumptions!$B$25)</f>
        <v/>
      </c>
    </row>
    <row r="26">
      <c r="A26" s="20" t="inlineStr">
        <is>
          <t xml:space="preserve">  Total COGS</t>
        </is>
      </c>
      <c r="B26" s="21">
        <f>SUM(B23:B25)</f>
        <v/>
      </c>
      <c r="C26" s="21">
        <f>SUM(C23:C25)</f>
        <v/>
      </c>
      <c r="D26" s="21">
        <f>SUM(D23:D25)</f>
        <v/>
      </c>
    </row>
    <row r="27">
      <c r="A27" s="20" t="inlineStr">
        <is>
          <t xml:space="preserve">  GROSS PROFIT</t>
        </is>
      </c>
      <c r="B27" s="21">
        <f>B20-B26</f>
        <v/>
      </c>
      <c r="C27" s="21">
        <f>C20-C26</f>
        <v/>
      </c>
      <c r="D27" s="21">
        <f>D20-D26</f>
        <v/>
      </c>
    </row>
    <row r="28">
      <c r="A28" s="6" t="inlineStr">
        <is>
          <t xml:space="preserve">  Gross margin %</t>
        </is>
      </c>
      <c r="B28" s="22">
        <f>B27/B20</f>
        <v/>
      </c>
      <c r="C28" s="22">
        <f>C27/C20</f>
        <v/>
      </c>
      <c r="D28" s="22">
        <f>D27/D20</f>
        <v/>
      </c>
    </row>
    <row r="30">
      <c r="A30" s="17" t="inlineStr">
        <is>
          <t>Operating expenses</t>
        </is>
      </c>
    </row>
    <row r="31">
      <c r="A31" s="6" t="inlineStr">
        <is>
          <t xml:space="preserve">  Marketing (CAC × intro + brand)</t>
        </is>
      </c>
      <c r="B31" s="19">
        <f>B5*Assumptions!E45+Assumptions!$B$28</f>
        <v/>
      </c>
      <c r="C31" s="19">
        <f>C5*Assumptions!F45+Assumptions!$B$28</f>
        <v/>
      </c>
      <c r="D31" s="19">
        <f>D5*Assumptions!G45+Assumptions!$B$28</f>
        <v/>
      </c>
    </row>
    <row r="32">
      <c r="A32" s="6" t="inlineStr">
        <is>
          <t xml:space="preserve">  Team salaries</t>
        </is>
      </c>
      <c r="B32" s="19">
        <f>Assumptions!$B$29</f>
        <v/>
      </c>
      <c r="C32" s="19">
        <f>Assumptions!$B$29</f>
        <v/>
      </c>
      <c r="D32" s="19">
        <f>Assumptions!$B$29</f>
        <v/>
      </c>
    </row>
    <row r="33">
      <c r="A33" s="6" t="inlineStr">
        <is>
          <t xml:space="preserve">  Software / platform</t>
        </is>
      </c>
      <c r="B33" s="19">
        <f>Assumptions!$B$30</f>
        <v/>
      </c>
      <c r="C33" s="19">
        <f>Assumptions!$B$30</f>
        <v/>
      </c>
      <c r="D33" s="19">
        <f>Assumptions!$B$30</f>
        <v/>
      </c>
    </row>
    <row r="34">
      <c r="A34" s="6" t="inlineStr">
        <is>
          <t xml:space="preserve">  Legal / compliance</t>
        </is>
      </c>
      <c r="B34" s="19">
        <f>Assumptions!$B$31</f>
        <v/>
      </c>
      <c r="C34" s="19">
        <f>Assumptions!$B$31</f>
        <v/>
      </c>
      <c r="D34" s="19">
        <f>Assumptions!$B$31</f>
        <v/>
      </c>
    </row>
    <row r="35">
      <c r="A35" s="6" t="inlineStr">
        <is>
          <t xml:space="preserve">  G&amp;A / misc</t>
        </is>
      </c>
      <c r="B35" s="19">
        <f>Assumptions!$B$32</f>
        <v/>
      </c>
      <c r="C35" s="19">
        <f>Assumptions!$B$32</f>
        <v/>
      </c>
      <c r="D35" s="19">
        <f>Assumptions!$B$32</f>
        <v/>
      </c>
    </row>
    <row r="36">
      <c r="A36" s="20" t="inlineStr">
        <is>
          <t xml:space="preserve">  Total OpEx</t>
        </is>
      </c>
      <c r="B36" s="21">
        <f>SUM(B31:B35)</f>
        <v/>
      </c>
      <c r="C36" s="21">
        <f>SUM(C31:C35)</f>
        <v/>
      </c>
      <c r="D36" s="21">
        <f>SUM(D31:D35)</f>
        <v/>
      </c>
    </row>
    <row r="38">
      <c r="A38" s="20" t="inlineStr">
        <is>
          <t xml:space="preserve">  EBITDA</t>
        </is>
      </c>
      <c r="B38" s="23">
        <f>B27-B36</f>
        <v/>
      </c>
      <c r="C38" s="23">
        <f>C27-C36</f>
        <v/>
      </c>
      <c r="D38" s="23">
        <f>D27-D36</f>
        <v/>
      </c>
    </row>
    <row r="39">
      <c r="A39" s="6" t="inlineStr">
        <is>
          <t xml:space="preserve">  EBITDA margin %</t>
        </is>
      </c>
      <c r="B39" s="22">
        <f>B38/B20</f>
        <v/>
      </c>
      <c r="C39" s="22">
        <f>C38/C20</f>
        <v/>
      </c>
      <c r="D39" s="22">
        <f>D38/D20</f>
        <v/>
      </c>
    </row>
    <row r="41">
      <c r="A41" s="17" t="inlineStr">
        <is>
          <t>MEMO</t>
        </is>
      </c>
    </row>
    <row r="42">
      <c r="A42" s="6" t="inlineStr">
        <is>
          <t xml:space="preserve">  Course bookings (full contract value)</t>
        </is>
      </c>
      <c r="B42" s="19">
        <f>B5*Assumptions!$B$4+B6*(Assumptions!$B$5*Assumptions!$B$7+Assumptions!$B$6*(1-Assumptions!$B$7))+B7*(Assumptions!$B$8*Assumptions!$B$10+Assumptions!$B$9*(1-Assumptions!$B$10))+B8*Assumptions!$B$11+B9*Assumptions!$B$12</f>
        <v/>
      </c>
      <c r="C42" s="19">
        <f>C5*Assumptions!$B$4+C6*(Assumptions!$B$5*Assumptions!$B$7+Assumptions!$B$6*(1-Assumptions!$B$7))+C7*(Assumptions!$B$8*Assumptions!$B$10+Assumptions!$B$9*(1-Assumptions!$B$10))+C8*Assumptions!$B$11+C9*Assumptions!$B$12</f>
        <v/>
      </c>
      <c r="D42" s="19">
        <f>D5*Assumptions!$B$4+D6*(Assumptions!$B$5*Assumptions!$B$7+Assumptions!$B$6*(1-Assumptions!$B$7))+D7*(Assumptions!$B$8*Assumptions!$B$10+Assumptions!$B$9*(1-Assumptions!$B$10))+D8*Assumptions!$B$11+D9*Assumptions!$B$12</f>
        <v/>
      </c>
    </row>
    <row r="43">
      <c r="A43" s="24" t="inlineStr">
        <is>
          <t xml:space="preserve">  (recognised revenue above; bookings = total value signed, incl. future years)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3" t="inlineStr">
        <is>
          <t>UNIT ECONOMICS — per intro buyer (Base assumptions, RM)</t>
        </is>
      </c>
    </row>
    <row r="3">
      <c r="A3" s="4" t="inlineStr">
        <is>
          <t>Probability of reaching each rung</t>
        </is>
      </c>
      <c r="B3" s="5" t="n"/>
    </row>
    <row r="4">
      <c r="A4" s="6" t="inlineStr">
        <is>
          <t xml:space="preserve">  Intro</t>
        </is>
      </c>
      <c r="B4" s="22" t="n">
        <v>1</v>
      </c>
    </row>
    <row r="5">
      <c r="A5" s="6" t="inlineStr">
        <is>
          <t xml:space="preserve">  Bootcamp</t>
        </is>
      </c>
      <c r="B5" s="25">
        <f>Assumptions!$B$15*Assumptions!$F$42</f>
        <v/>
      </c>
    </row>
    <row r="6">
      <c r="A6" s="6" t="inlineStr">
        <is>
          <t xml:space="preserve">  Certificate</t>
        </is>
      </c>
      <c r="B6" s="22">
        <f>B5*Assumptions!$B$16*Assumptions!$F$42</f>
        <v/>
      </c>
    </row>
    <row r="7">
      <c r="A7" s="6" t="inlineStr">
        <is>
          <t xml:space="preserve">  Diploma</t>
        </is>
      </c>
      <c r="B7" s="22">
        <f>B6*Assumptions!$B$17*Assumptions!$F$42</f>
        <v/>
      </c>
    </row>
    <row r="8">
      <c r="A8" s="6" t="inlineStr">
        <is>
          <t xml:space="preserve">  Mastery</t>
        </is>
      </c>
      <c r="B8" s="22">
        <f>B7*Assumptions!$B$18*Assumptions!$F$42</f>
        <v/>
      </c>
    </row>
    <row r="10">
      <c r="A10" s="4" t="inlineStr">
        <is>
          <t>Revenue value per intro buyer (full price × probability)</t>
        </is>
      </c>
      <c r="B10" s="5" t="n"/>
    </row>
    <row r="11">
      <c r="A11" s="6" t="inlineStr">
        <is>
          <t xml:space="preserve">  Intro</t>
        </is>
      </c>
      <c r="B11" s="19">
        <f>B4*Assumptions!$B$4</f>
        <v/>
      </c>
    </row>
    <row r="12">
      <c r="A12" s="6" t="inlineStr">
        <is>
          <t xml:space="preserve">  Bootcamp</t>
        </is>
      </c>
      <c r="B12" s="19">
        <f>B5*(Assumptions!$B$5*Assumptions!$B$7+Assumptions!$B$6*(1-Assumptions!$B$7))</f>
        <v/>
      </c>
    </row>
    <row r="13">
      <c r="A13" s="6" t="inlineStr">
        <is>
          <t xml:space="preserve">  Certificate</t>
        </is>
      </c>
      <c r="B13" s="19">
        <f>B6*(Assumptions!$B$8*Assumptions!$B$10+Assumptions!$B$9*(1-Assumptions!$B$10))</f>
        <v/>
      </c>
    </row>
    <row r="14">
      <c r="A14" s="6" t="inlineStr">
        <is>
          <t xml:space="preserve">  Diploma</t>
        </is>
      </c>
      <c r="B14" s="19">
        <f>B7*Assumptions!$B$11</f>
        <v/>
      </c>
    </row>
    <row r="15">
      <c r="A15" s="6" t="inlineStr">
        <is>
          <t xml:space="preserve">  Mastery</t>
        </is>
      </c>
      <c r="B15" s="19">
        <f>B8*Assumptions!$B$12</f>
        <v/>
      </c>
    </row>
    <row r="16">
      <c r="A16" s="20" t="inlineStr">
        <is>
          <t xml:space="preserve">  Course LTV / intro buyer</t>
        </is>
      </c>
      <c r="B16" s="21">
        <f>SUM(B11:B15)</f>
        <v/>
      </c>
    </row>
    <row r="17">
      <c r="A17" s="6" t="inlineStr">
        <is>
          <t xml:space="preserve">  Tool LTV / intro buyer</t>
        </is>
      </c>
      <c r="B17" s="19">
        <f>B5*Assumptions!$F$44*Assumptions!$B$13*Assumptions!$B$21</f>
        <v/>
      </c>
    </row>
    <row r="18">
      <c r="A18" s="20" t="inlineStr">
        <is>
          <t xml:space="preserve">  TOTAL revenue LTV / intro buyer</t>
        </is>
      </c>
      <c r="B18" s="23">
        <f>B16+B17</f>
        <v/>
      </c>
    </row>
    <row r="20">
      <c r="A20" s="4" t="inlineStr">
        <is>
          <t>Contribution &amp; returns</t>
        </is>
      </c>
      <c r="B20" s="5" t="n"/>
    </row>
    <row r="21">
      <c r="A21" s="6" t="inlineStr">
        <is>
          <t xml:space="preserve">  Course contribution / intro</t>
        </is>
      </c>
      <c r="B21" s="19">
        <f>B16*(1-Assumptions!$B$27)</f>
        <v/>
      </c>
    </row>
    <row r="22">
      <c r="A22" s="6" t="inlineStr">
        <is>
          <t xml:space="preserve">  Tool contribution / intro</t>
        </is>
      </c>
      <c r="B22" s="19">
        <f>B17*Assumptions!$B$22</f>
        <v/>
      </c>
    </row>
    <row r="23">
      <c r="A23" s="20" t="inlineStr">
        <is>
          <t xml:space="preserve">  TOTAL contribution LTV / intro</t>
        </is>
      </c>
      <c r="B23" s="21">
        <f>B21+B22</f>
        <v/>
      </c>
    </row>
    <row r="24">
      <c r="A24" s="6" t="inlineStr">
        <is>
          <t xml:space="preserve">  CAC per intro (Base)</t>
        </is>
      </c>
      <c r="B24" s="26">
        <f>Assumptions!$F$45</f>
        <v/>
      </c>
    </row>
    <row r="25">
      <c r="A25" s="20" t="inlineStr">
        <is>
          <t xml:space="preserve">  LTV : CAC (contribution)</t>
        </is>
      </c>
      <c r="B25" s="27">
        <f>B23/B24</f>
        <v/>
      </c>
    </row>
    <row r="26">
      <c r="A26" s="6" t="inlineStr">
        <is>
          <t xml:space="preserve">  LTV : CAC (revenue)</t>
        </is>
      </c>
      <c r="B26" s="28">
        <f>B18/B24</f>
        <v/>
      </c>
    </row>
    <row r="27">
      <c r="A27" s="6" t="inlineStr">
        <is>
          <t xml:space="preserve">  First sale covers CAC? (intro − CAC)</t>
        </is>
      </c>
      <c r="B27" s="19">
        <f>Assumptions!$B$4-B24</f>
        <v/>
      </c>
    </row>
    <row r="29">
      <c r="A29" s="4" t="inlineStr">
        <is>
          <t>Break-even (Year-1 basis, base margins, volume the only variable)</t>
        </is>
      </c>
      <c r="B29" s="5" t="n"/>
    </row>
    <row r="30">
      <c r="A30" s="6" t="inlineStr">
        <is>
          <t xml:space="preserve">  Fixed OpEx / yr</t>
        </is>
      </c>
      <c r="B30" s="26">
        <f>Assumptions!$B$28+Assumptions!$B$29+Assumptions!$B$30+Assumptions!$B$31+Assumptions!$B$32</f>
        <v/>
      </c>
    </row>
    <row r="31">
      <c r="A31" s="6" t="inlineStr">
        <is>
          <t xml:space="preserve">  Film gross profit (base, offsets fixed)</t>
        </is>
      </c>
      <c r="B31" s="26">
        <f>'P&amp;L (Year 1)'!C19*Assumptions!$B$25</f>
        <v/>
      </c>
    </row>
    <row r="32">
      <c r="A32" s="6" t="inlineStr">
        <is>
          <t xml:space="preserve">  Course+Tool GP per intro (base)</t>
        </is>
      </c>
      <c r="B32" s="26">
        <f>('P&amp;L (Year 1)'!C17*(1-Assumptions!$B$27)+'P&amp;L (Year 1)'!C18*Assumptions!$B$22)/'P&amp;L (Year 1)'!C5</f>
        <v/>
      </c>
    </row>
    <row r="33">
      <c r="A33" s="20" t="inlineStr">
        <is>
          <t xml:space="preserve">  Break-even intro buyers / yr</t>
        </is>
      </c>
      <c r="B33" s="29">
        <f>(B30-B31)/(B32-Assumptions!$F$45)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3" t="inlineStr">
        <is>
          <t>MONTHLY CASH FLOW — Year 1, Base scenario (RM)</t>
        </is>
      </c>
    </row>
    <row r="2">
      <c r="A2" s="30" t="inlineStr">
        <is>
          <t>Long programs modelled as monthly installments (worst case for cash). Blue=input, yellow=key lever.</t>
        </is>
      </c>
    </row>
    <row r="4">
      <c r="A4" s="5" t="inlineStr"/>
      <c r="B4" s="16" t="inlineStr">
        <is>
          <t>M1</t>
        </is>
      </c>
      <c r="C4" s="16" t="inlineStr">
        <is>
          <t>M2</t>
        </is>
      </c>
      <c r="D4" s="16" t="inlineStr">
        <is>
          <t>M3</t>
        </is>
      </c>
      <c r="E4" s="16" t="inlineStr">
        <is>
          <t>M4</t>
        </is>
      </c>
      <c r="F4" s="16" t="inlineStr">
        <is>
          <t>M5</t>
        </is>
      </c>
      <c r="G4" s="16" t="inlineStr">
        <is>
          <t>M6</t>
        </is>
      </c>
      <c r="H4" s="16" t="inlineStr">
        <is>
          <t>M7</t>
        </is>
      </c>
      <c r="I4" s="16" t="inlineStr">
        <is>
          <t>M8</t>
        </is>
      </c>
      <c r="J4" s="16" t="inlineStr">
        <is>
          <t>M9</t>
        </is>
      </c>
      <c r="K4" s="16" t="inlineStr">
        <is>
          <t>M10</t>
        </is>
      </c>
      <c r="L4" s="16" t="inlineStr">
        <is>
          <t>M11</t>
        </is>
      </c>
      <c r="M4" s="16" t="inlineStr">
        <is>
          <t>M12</t>
        </is>
      </c>
      <c r="N4" s="16" t="inlineStr">
        <is>
          <t>Year 1</t>
        </is>
      </c>
    </row>
    <row r="5">
      <c r="A5" s="4" t="inlineStr">
        <is>
          <t>VOLUMES (students)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inlineStr">
        <is>
          <t xml:space="preserve">  Intro buyers (input ramp)</t>
        </is>
      </c>
      <c r="B6" s="31" t="n">
        <v>50</v>
      </c>
      <c r="C6" s="31" t="n">
        <v>80</v>
      </c>
      <c r="D6" s="31" t="n">
        <v>120</v>
      </c>
      <c r="E6" s="31" t="n">
        <v>150</v>
      </c>
      <c r="F6" s="31" t="n">
        <v>170</v>
      </c>
      <c r="G6" s="31" t="n">
        <v>190</v>
      </c>
      <c r="H6" s="31" t="n">
        <v>200</v>
      </c>
      <c r="I6" s="31" t="n">
        <v>210</v>
      </c>
      <c r="J6" s="31" t="n">
        <v>210</v>
      </c>
      <c r="K6" s="31" t="n">
        <v>210</v>
      </c>
      <c r="L6" s="31" t="n">
        <v>200</v>
      </c>
      <c r="M6" s="31" t="n">
        <v>210</v>
      </c>
      <c r="N6" s="32">
        <f>SUM(B6:M6)</f>
        <v/>
      </c>
    </row>
    <row r="7">
      <c r="A7" s="6" t="inlineStr">
        <is>
          <t xml:space="preserve">  Bootcamp (25% of prior-month intro)</t>
        </is>
      </c>
      <c r="B7" s="18" t="n">
        <v>0</v>
      </c>
      <c r="C7" s="18">
        <f>B6*Assumptions!$B$15</f>
        <v/>
      </c>
      <c r="D7" s="18">
        <f>C6*Assumptions!$B$15</f>
        <v/>
      </c>
      <c r="E7" s="18">
        <f>D6*Assumptions!$B$15</f>
        <v/>
      </c>
      <c r="F7" s="18">
        <f>E6*Assumptions!$B$15</f>
        <v/>
      </c>
      <c r="G7" s="18">
        <f>F6*Assumptions!$B$15</f>
        <v/>
      </c>
      <c r="H7" s="18">
        <f>G6*Assumptions!$B$15</f>
        <v/>
      </c>
      <c r="I7" s="18">
        <f>H6*Assumptions!$B$15</f>
        <v/>
      </c>
      <c r="J7" s="18">
        <f>I6*Assumptions!$B$15</f>
        <v/>
      </c>
      <c r="K7" s="18">
        <f>J6*Assumptions!$B$15</f>
        <v/>
      </c>
      <c r="L7" s="18">
        <f>K6*Assumptions!$B$15</f>
        <v/>
      </c>
      <c r="M7" s="18">
        <f>L6*Assumptions!$B$15</f>
        <v/>
      </c>
      <c r="N7" s="18">
        <f>SUM(B7:M7)</f>
        <v/>
      </c>
    </row>
    <row r="8">
      <c r="A8" s="6" t="inlineStr">
        <is>
          <t xml:space="preserve">  Certificate enrol (20% of prior boot)</t>
        </is>
      </c>
      <c r="B8" s="18" t="n">
        <v>0</v>
      </c>
      <c r="C8" s="18">
        <f>B7*Assumptions!$B$16</f>
        <v/>
      </c>
      <c r="D8" s="18">
        <f>C7*Assumptions!$B$16</f>
        <v/>
      </c>
      <c r="E8" s="18">
        <f>D7*Assumptions!$B$16</f>
        <v/>
      </c>
      <c r="F8" s="18">
        <f>E7*Assumptions!$B$16</f>
        <v/>
      </c>
      <c r="G8" s="18">
        <f>F7*Assumptions!$B$16</f>
        <v/>
      </c>
      <c r="H8" s="18">
        <f>G7*Assumptions!$B$16</f>
        <v/>
      </c>
      <c r="I8" s="18">
        <f>H7*Assumptions!$B$16</f>
        <v/>
      </c>
      <c r="J8" s="18">
        <f>I7*Assumptions!$B$16</f>
        <v/>
      </c>
      <c r="K8" s="18">
        <f>J7*Assumptions!$B$16</f>
        <v/>
      </c>
      <c r="L8" s="18">
        <f>K7*Assumptions!$B$16</f>
        <v/>
      </c>
      <c r="M8" s="18">
        <f>L7*Assumptions!$B$16</f>
        <v/>
      </c>
      <c r="N8" s="18">
        <f>SUM(B8:M8)</f>
        <v/>
      </c>
    </row>
    <row r="9">
      <c r="A9" s="6" t="inlineStr">
        <is>
          <t xml:space="preserve">  Diploma enrol (35% of prior cert)</t>
        </is>
      </c>
      <c r="B9" s="18" t="n">
        <v>0</v>
      </c>
      <c r="C9" s="18">
        <f>B8*Assumptions!$B$17</f>
        <v/>
      </c>
      <c r="D9" s="18">
        <f>C8*Assumptions!$B$17</f>
        <v/>
      </c>
      <c r="E9" s="18">
        <f>D8*Assumptions!$B$17</f>
        <v/>
      </c>
      <c r="F9" s="18">
        <f>E8*Assumptions!$B$17</f>
        <v/>
      </c>
      <c r="G9" s="18">
        <f>F8*Assumptions!$B$17</f>
        <v/>
      </c>
      <c r="H9" s="18">
        <f>G8*Assumptions!$B$17</f>
        <v/>
      </c>
      <c r="I9" s="18">
        <f>H8*Assumptions!$B$17</f>
        <v/>
      </c>
      <c r="J9" s="18">
        <f>I8*Assumptions!$B$17</f>
        <v/>
      </c>
      <c r="K9" s="18">
        <f>J8*Assumptions!$B$17</f>
        <v/>
      </c>
      <c r="L9" s="18">
        <f>K8*Assumptions!$B$17</f>
        <v/>
      </c>
      <c r="M9" s="18">
        <f>L8*Assumptions!$B$17</f>
        <v/>
      </c>
      <c r="N9" s="18">
        <f>SUM(B9:M9)</f>
        <v/>
      </c>
    </row>
    <row r="10">
      <c r="A10" s="6" t="inlineStr">
        <is>
          <t xml:space="preserve">  Mastery enrol (35% of prior dip)</t>
        </is>
      </c>
      <c r="B10" s="18" t="n">
        <v>0</v>
      </c>
      <c r="C10" s="18">
        <f>B9*Assumptions!$B$18</f>
        <v/>
      </c>
      <c r="D10" s="18">
        <f>C9*Assumptions!$B$18</f>
        <v/>
      </c>
      <c r="E10" s="18">
        <f>D9*Assumptions!$B$18</f>
        <v/>
      </c>
      <c r="F10" s="18">
        <f>E9*Assumptions!$B$18</f>
        <v/>
      </c>
      <c r="G10" s="18">
        <f>F9*Assumptions!$B$18</f>
        <v/>
      </c>
      <c r="H10" s="18">
        <f>G9*Assumptions!$B$18</f>
        <v/>
      </c>
      <c r="I10" s="18">
        <f>H9*Assumptions!$B$18</f>
        <v/>
      </c>
      <c r="J10" s="18">
        <f>I9*Assumptions!$B$18</f>
        <v/>
      </c>
      <c r="K10" s="18">
        <f>J9*Assumptions!$B$18</f>
        <v/>
      </c>
      <c r="L10" s="18">
        <f>K9*Assumptions!$B$18</f>
        <v/>
      </c>
      <c r="M10" s="18">
        <f>L9*Assumptions!$B$18</f>
        <v/>
      </c>
      <c r="N10" s="18">
        <f>SUM(B10:M10)</f>
        <v/>
      </c>
    </row>
    <row r="11">
      <c r="A11" s="4" t="inlineStr">
        <is>
          <t>CUMULATIVE (active for recurring cash)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inlineStr">
        <is>
          <t xml:space="preserve">  Cum bootcamp</t>
        </is>
      </c>
      <c r="B12" s="18">
        <f>B7</f>
        <v/>
      </c>
      <c r="C12" s="18">
        <f>B12+C7</f>
        <v/>
      </c>
      <c r="D12" s="18">
        <f>C12+D7</f>
        <v/>
      </c>
      <c r="E12" s="18">
        <f>D12+E7</f>
        <v/>
      </c>
      <c r="F12" s="18">
        <f>E12+F7</f>
        <v/>
      </c>
      <c r="G12" s="18">
        <f>F12+G7</f>
        <v/>
      </c>
      <c r="H12" s="18">
        <f>G12+H7</f>
        <v/>
      </c>
      <c r="I12" s="18">
        <f>H12+I7</f>
        <v/>
      </c>
      <c r="J12" s="18">
        <f>I12+J7</f>
        <v/>
      </c>
      <c r="K12" s="18">
        <f>J12+K7</f>
        <v/>
      </c>
      <c r="L12" s="18">
        <f>K12+L7</f>
        <v/>
      </c>
      <c r="M12" s="18">
        <f>L12+M7</f>
        <v/>
      </c>
      <c r="N12" s="18">
        <f>M12</f>
        <v/>
      </c>
    </row>
    <row r="13">
      <c r="A13" s="6" t="inlineStr">
        <is>
          <t xml:space="preserve">  Cum certificate</t>
        </is>
      </c>
      <c r="B13" s="18">
        <f>B8</f>
        <v/>
      </c>
      <c r="C13" s="18">
        <f>B13+C8</f>
        <v/>
      </c>
      <c r="D13" s="18">
        <f>C13+D8</f>
        <v/>
      </c>
      <c r="E13" s="18">
        <f>D13+E8</f>
        <v/>
      </c>
      <c r="F13" s="18">
        <f>E13+F8</f>
        <v/>
      </c>
      <c r="G13" s="18">
        <f>F13+G8</f>
        <v/>
      </c>
      <c r="H13" s="18">
        <f>G13+H8</f>
        <v/>
      </c>
      <c r="I13" s="18">
        <f>H13+I8</f>
        <v/>
      </c>
      <c r="J13" s="18">
        <f>I13+J8</f>
        <v/>
      </c>
      <c r="K13" s="18">
        <f>J13+K8</f>
        <v/>
      </c>
      <c r="L13" s="18">
        <f>K13+L8</f>
        <v/>
      </c>
      <c r="M13" s="18">
        <f>L13+M8</f>
        <v/>
      </c>
      <c r="N13" s="18">
        <f>M13</f>
        <v/>
      </c>
    </row>
    <row r="14">
      <c r="A14" s="6" t="inlineStr">
        <is>
          <t xml:space="preserve">  Cum diploma</t>
        </is>
      </c>
      <c r="B14" s="18">
        <f>B9</f>
        <v/>
      </c>
      <c r="C14" s="18">
        <f>B14+C9</f>
        <v/>
      </c>
      <c r="D14" s="18">
        <f>C14+D9</f>
        <v/>
      </c>
      <c r="E14" s="18">
        <f>D14+E9</f>
        <v/>
      </c>
      <c r="F14" s="18">
        <f>E14+F9</f>
        <v/>
      </c>
      <c r="G14" s="18">
        <f>F14+G9</f>
        <v/>
      </c>
      <c r="H14" s="18">
        <f>G14+H9</f>
        <v/>
      </c>
      <c r="I14" s="18">
        <f>H14+I9</f>
        <v/>
      </c>
      <c r="J14" s="18">
        <f>I14+J9</f>
        <v/>
      </c>
      <c r="K14" s="18">
        <f>J14+K9</f>
        <v/>
      </c>
      <c r="L14" s="18">
        <f>K14+L9</f>
        <v/>
      </c>
      <c r="M14" s="18">
        <f>L14+M9</f>
        <v/>
      </c>
      <c r="N14" s="18">
        <f>M14</f>
        <v/>
      </c>
    </row>
    <row r="15">
      <c r="A15" s="6" t="inlineStr">
        <is>
          <t xml:space="preserve">  Cum mastery</t>
        </is>
      </c>
      <c r="B15" s="18">
        <f>B10</f>
        <v/>
      </c>
      <c r="C15" s="18">
        <f>B15+C10</f>
        <v/>
      </c>
      <c r="D15" s="18">
        <f>C15+D10</f>
        <v/>
      </c>
      <c r="E15" s="18">
        <f>D15+E10</f>
        <v/>
      </c>
      <c r="F15" s="18">
        <f>E15+F10</f>
        <v/>
      </c>
      <c r="G15" s="18">
        <f>F15+G10</f>
        <v/>
      </c>
      <c r="H15" s="18">
        <f>G15+H10</f>
        <v/>
      </c>
      <c r="I15" s="18">
        <f>H15+I10</f>
        <v/>
      </c>
      <c r="J15" s="18">
        <f>I15+J10</f>
        <v/>
      </c>
      <c r="K15" s="18">
        <f>J15+K10</f>
        <v/>
      </c>
      <c r="L15" s="18">
        <f>K15+L10</f>
        <v/>
      </c>
      <c r="M15" s="18">
        <f>L15+M10</f>
        <v/>
      </c>
      <c r="N15" s="18">
        <f>M15</f>
        <v/>
      </c>
    </row>
    <row r="16">
      <c r="A16" s="6" t="inlineStr">
        <is>
          <t xml:space="preserve">  Tool paying subs (cum boot lag-3 × paid%)</t>
        </is>
      </c>
      <c r="B16" s="18" t="inlineStr">
        <is>
          <t>0</t>
        </is>
      </c>
      <c r="C16" s="18" t="inlineStr">
        <is>
          <t>0</t>
        </is>
      </c>
      <c r="D16" s="18" t="inlineStr">
        <is>
          <t>0</t>
        </is>
      </c>
      <c r="E16" s="18">
        <f>B12*Assumptions!$F$44</f>
        <v/>
      </c>
      <c r="F16" s="18">
        <f>C12*Assumptions!$F$44</f>
        <v/>
      </c>
      <c r="G16" s="18">
        <f>D12*Assumptions!$F$44</f>
        <v/>
      </c>
      <c r="H16" s="18">
        <f>E12*Assumptions!$F$44</f>
        <v/>
      </c>
      <c r="I16" s="18">
        <f>F12*Assumptions!$F$44</f>
        <v/>
      </c>
      <c r="J16" s="18">
        <f>G12*Assumptions!$F$44</f>
        <v/>
      </c>
      <c r="K16" s="18">
        <f>H12*Assumptions!$F$44</f>
        <v/>
      </c>
      <c r="L16" s="18">
        <f>I12*Assumptions!$F$44</f>
        <v/>
      </c>
      <c r="M16" s="18">
        <f>J12*Assumptions!$F$44</f>
        <v/>
      </c>
      <c r="N16" s="18">
        <f>M16</f>
        <v/>
      </c>
    </row>
    <row r="18">
      <c r="A18" s="4" t="inlineStr">
        <is>
          <t>CASH IN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inlineStr">
        <is>
          <t xml:space="preserve">  Intro (on purchase)</t>
        </is>
      </c>
      <c r="B19" s="19">
        <f>B6*Assumptions!$B$4</f>
        <v/>
      </c>
      <c r="C19" s="19">
        <f>C6*Assumptions!$B$4</f>
        <v/>
      </c>
      <c r="D19" s="19">
        <f>D6*Assumptions!$B$4</f>
        <v/>
      </c>
      <c r="E19" s="19">
        <f>E6*Assumptions!$B$4</f>
        <v/>
      </c>
      <c r="F19" s="19">
        <f>F6*Assumptions!$B$4</f>
        <v/>
      </c>
      <c r="G19" s="19">
        <f>G6*Assumptions!$B$4</f>
        <v/>
      </c>
      <c r="H19" s="19">
        <f>H6*Assumptions!$B$4</f>
        <v/>
      </c>
      <c r="I19" s="19">
        <f>I6*Assumptions!$B$4</f>
        <v/>
      </c>
      <c r="J19" s="19">
        <f>J6*Assumptions!$B$4</f>
        <v/>
      </c>
      <c r="K19" s="19">
        <f>K6*Assumptions!$B$4</f>
        <v/>
      </c>
      <c r="L19" s="19">
        <f>L6*Assumptions!$B$4</f>
        <v/>
      </c>
      <c r="M19" s="19">
        <f>M6*Assumptions!$B$4</f>
        <v/>
      </c>
      <c r="N19" s="19">
        <f>SUM(B19:M19)</f>
        <v/>
      </c>
    </row>
    <row r="20">
      <c r="A20" s="6" t="inlineStr">
        <is>
          <t xml:space="preserve">  Bootcamp (upfront)</t>
        </is>
      </c>
      <c r="B20" s="19">
        <f>B7*(Assumptions!$B$5*Assumptions!$B$7+Assumptions!$B$6*(1-Assumptions!$B$7))</f>
        <v/>
      </c>
      <c r="C20" s="19">
        <f>C7*(Assumptions!$B$5*Assumptions!$B$7+Assumptions!$B$6*(1-Assumptions!$B$7))</f>
        <v/>
      </c>
      <c r="D20" s="19">
        <f>D7*(Assumptions!$B$5*Assumptions!$B$7+Assumptions!$B$6*(1-Assumptions!$B$7))</f>
        <v/>
      </c>
      <c r="E20" s="19">
        <f>E7*(Assumptions!$B$5*Assumptions!$B$7+Assumptions!$B$6*(1-Assumptions!$B$7))</f>
        <v/>
      </c>
      <c r="F20" s="19">
        <f>F7*(Assumptions!$B$5*Assumptions!$B$7+Assumptions!$B$6*(1-Assumptions!$B$7))</f>
        <v/>
      </c>
      <c r="G20" s="19">
        <f>G7*(Assumptions!$B$5*Assumptions!$B$7+Assumptions!$B$6*(1-Assumptions!$B$7))</f>
        <v/>
      </c>
      <c r="H20" s="19">
        <f>H7*(Assumptions!$B$5*Assumptions!$B$7+Assumptions!$B$6*(1-Assumptions!$B$7))</f>
        <v/>
      </c>
      <c r="I20" s="19">
        <f>I7*(Assumptions!$B$5*Assumptions!$B$7+Assumptions!$B$6*(1-Assumptions!$B$7))</f>
        <v/>
      </c>
      <c r="J20" s="19">
        <f>J7*(Assumptions!$B$5*Assumptions!$B$7+Assumptions!$B$6*(1-Assumptions!$B$7))</f>
        <v/>
      </c>
      <c r="K20" s="19">
        <f>K7*(Assumptions!$B$5*Assumptions!$B$7+Assumptions!$B$6*(1-Assumptions!$B$7))</f>
        <v/>
      </c>
      <c r="L20" s="19">
        <f>L7*(Assumptions!$B$5*Assumptions!$B$7+Assumptions!$B$6*(1-Assumptions!$B$7))</f>
        <v/>
      </c>
      <c r="M20" s="19">
        <f>M7*(Assumptions!$B$5*Assumptions!$B$7+Assumptions!$B$6*(1-Assumptions!$B$7))</f>
        <v/>
      </c>
      <c r="N20" s="19">
        <f>SUM(B20:M20)</f>
        <v/>
      </c>
    </row>
    <row r="21">
      <c r="A21" s="6" t="inlineStr">
        <is>
          <t xml:space="preserve">  Certificate (monthly installment)</t>
        </is>
      </c>
      <c r="B21" s="19">
        <f>B13*((Assumptions!$B$8*Assumptions!$B$10+Assumptions!$B$9*(1-Assumptions!$B$10))/12)</f>
        <v/>
      </c>
      <c r="C21" s="19">
        <f>C13*((Assumptions!$B$8*Assumptions!$B$10+Assumptions!$B$9*(1-Assumptions!$B$10))/12)</f>
        <v/>
      </c>
      <c r="D21" s="19">
        <f>D13*((Assumptions!$B$8*Assumptions!$B$10+Assumptions!$B$9*(1-Assumptions!$B$10))/12)</f>
        <v/>
      </c>
      <c r="E21" s="19">
        <f>E13*((Assumptions!$B$8*Assumptions!$B$10+Assumptions!$B$9*(1-Assumptions!$B$10))/12)</f>
        <v/>
      </c>
      <c r="F21" s="19">
        <f>F13*((Assumptions!$B$8*Assumptions!$B$10+Assumptions!$B$9*(1-Assumptions!$B$10))/12)</f>
        <v/>
      </c>
      <c r="G21" s="19">
        <f>G13*((Assumptions!$B$8*Assumptions!$B$10+Assumptions!$B$9*(1-Assumptions!$B$10))/12)</f>
        <v/>
      </c>
      <c r="H21" s="19">
        <f>H13*((Assumptions!$B$8*Assumptions!$B$10+Assumptions!$B$9*(1-Assumptions!$B$10))/12)</f>
        <v/>
      </c>
      <c r="I21" s="19">
        <f>I13*((Assumptions!$B$8*Assumptions!$B$10+Assumptions!$B$9*(1-Assumptions!$B$10))/12)</f>
        <v/>
      </c>
      <c r="J21" s="19">
        <f>J13*((Assumptions!$B$8*Assumptions!$B$10+Assumptions!$B$9*(1-Assumptions!$B$10))/12)</f>
        <v/>
      </c>
      <c r="K21" s="19">
        <f>K13*((Assumptions!$B$8*Assumptions!$B$10+Assumptions!$B$9*(1-Assumptions!$B$10))/12)</f>
        <v/>
      </c>
      <c r="L21" s="19">
        <f>L13*((Assumptions!$B$8*Assumptions!$B$10+Assumptions!$B$9*(1-Assumptions!$B$10))/12)</f>
        <v/>
      </c>
      <c r="M21" s="19">
        <f>M13*((Assumptions!$B$8*Assumptions!$B$10+Assumptions!$B$9*(1-Assumptions!$B$10))/12)</f>
        <v/>
      </c>
      <c r="N21" s="19">
        <f>SUM(B21:M21)</f>
        <v/>
      </c>
    </row>
    <row r="22">
      <c r="A22" s="6" t="inlineStr">
        <is>
          <t xml:space="preserve">  Diploma (monthly installment)</t>
        </is>
      </c>
      <c r="B22" s="19">
        <f>B14*(Assumptions!$B$11/24)</f>
        <v/>
      </c>
      <c r="C22" s="19">
        <f>C14*(Assumptions!$B$11/24)</f>
        <v/>
      </c>
      <c r="D22" s="19">
        <f>D14*(Assumptions!$B$11/24)</f>
        <v/>
      </c>
      <c r="E22" s="19">
        <f>E14*(Assumptions!$B$11/24)</f>
        <v/>
      </c>
      <c r="F22" s="19">
        <f>F14*(Assumptions!$B$11/24)</f>
        <v/>
      </c>
      <c r="G22" s="19">
        <f>G14*(Assumptions!$B$11/24)</f>
        <v/>
      </c>
      <c r="H22" s="19">
        <f>H14*(Assumptions!$B$11/24)</f>
        <v/>
      </c>
      <c r="I22" s="19">
        <f>I14*(Assumptions!$B$11/24)</f>
        <v/>
      </c>
      <c r="J22" s="19">
        <f>J14*(Assumptions!$B$11/24)</f>
        <v/>
      </c>
      <c r="K22" s="19">
        <f>K14*(Assumptions!$B$11/24)</f>
        <v/>
      </c>
      <c r="L22" s="19">
        <f>L14*(Assumptions!$B$11/24)</f>
        <v/>
      </c>
      <c r="M22" s="19">
        <f>M14*(Assumptions!$B$11/24)</f>
        <v/>
      </c>
      <c r="N22" s="19">
        <f>SUM(B22:M22)</f>
        <v/>
      </c>
    </row>
    <row r="23">
      <c r="A23" s="6" t="inlineStr">
        <is>
          <t xml:space="preserve">  Mastery (monthly, net of studio pay)</t>
        </is>
      </c>
      <c r="B23" s="19">
        <f>B15*(Assumptions!$B$12/48)</f>
        <v/>
      </c>
      <c r="C23" s="19">
        <f>C15*(Assumptions!$B$12/48)</f>
        <v/>
      </c>
      <c r="D23" s="19">
        <f>D15*(Assumptions!$B$12/48)</f>
        <v/>
      </c>
      <c r="E23" s="19">
        <f>E15*(Assumptions!$B$12/48)</f>
        <v/>
      </c>
      <c r="F23" s="19">
        <f>F15*(Assumptions!$B$12/48)</f>
        <v/>
      </c>
      <c r="G23" s="19">
        <f>G15*(Assumptions!$B$12/48)</f>
        <v/>
      </c>
      <c r="H23" s="19">
        <f>H15*(Assumptions!$B$12/48)</f>
        <v/>
      </c>
      <c r="I23" s="19">
        <f>I15*(Assumptions!$B$12/48)</f>
        <v/>
      </c>
      <c r="J23" s="19">
        <f>J15*(Assumptions!$B$12/48)</f>
        <v/>
      </c>
      <c r="K23" s="19">
        <f>K15*(Assumptions!$B$12/48)</f>
        <v/>
      </c>
      <c r="L23" s="19">
        <f>L15*(Assumptions!$B$12/48)</f>
        <v/>
      </c>
      <c r="M23" s="19">
        <f>M15*(Assumptions!$B$12/48)</f>
        <v/>
      </c>
      <c r="N23" s="19">
        <f>SUM(B23:M23)</f>
        <v/>
      </c>
    </row>
    <row r="24">
      <c r="A24" s="6" t="inlineStr">
        <is>
          <t xml:space="preserve">  Tool (recurring)</t>
        </is>
      </c>
      <c r="B24" s="19">
        <f>B16*Assumptions!$B$13</f>
        <v/>
      </c>
      <c r="C24" s="19">
        <f>C16*Assumptions!$B$13</f>
        <v/>
      </c>
      <c r="D24" s="19">
        <f>D16*Assumptions!$B$13</f>
        <v/>
      </c>
      <c r="E24" s="19">
        <f>E16*Assumptions!$B$13</f>
        <v/>
      </c>
      <c r="F24" s="19">
        <f>F16*Assumptions!$B$13</f>
        <v/>
      </c>
      <c r="G24" s="19">
        <f>G16*Assumptions!$B$13</f>
        <v/>
      </c>
      <c r="H24" s="19">
        <f>H16*Assumptions!$B$13</f>
        <v/>
      </c>
      <c r="I24" s="19">
        <f>I16*Assumptions!$B$13</f>
        <v/>
      </c>
      <c r="J24" s="19">
        <f>J16*Assumptions!$B$13</f>
        <v/>
      </c>
      <c r="K24" s="19">
        <f>K16*Assumptions!$B$13</f>
        <v/>
      </c>
      <c r="L24" s="19">
        <f>L16*Assumptions!$B$13</f>
        <v/>
      </c>
      <c r="M24" s="19">
        <f>M16*Assumptions!$B$13</f>
        <v/>
      </c>
      <c r="N24" s="19">
        <f>SUM(B24:M24)</f>
        <v/>
      </c>
    </row>
    <row r="25">
      <c r="A25" s="6" t="inlineStr">
        <is>
          <t xml:space="preserve">  Films delivered (input #)</t>
        </is>
      </c>
      <c r="B25" s="31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1</v>
      </c>
      <c r="H25" s="31" t="n">
        <v>0</v>
      </c>
      <c r="I25" s="31" t="n">
        <v>1</v>
      </c>
      <c r="J25" s="31" t="n">
        <v>1</v>
      </c>
      <c r="K25" s="31" t="n">
        <v>2</v>
      </c>
      <c r="L25" s="31" t="n">
        <v>1</v>
      </c>
      <c r="M25" s="31" t="n">
        <v>2</v>
      </c>
      <c r="N25" s="32">
        <f>SUM(B25:M25)</f>
        <v/>
      </c>
    </row>
    <row r="26">
      <c r="A26" s="6" t="inlineStr">
        <is>
          <t xml:space="preserve">  Film cash (on delivery)</t>
        </is>
      </c>
      <c r="B26" s="19">
        <f>B25*Assumptions!$B$24</f>
        <v/>
      </c>
      <c r="C26" s="19">
        <f>C25*Assumptions!$B$24</f>
        <v/>
      </c>
      <c r="D26" s="19">
        <f>D25*Assumptions!$B$24</f>
        <v/>
      </c>
      <c r="E26" s="19">
        <f>E25*Assumptions!$B$24</f>
        <v/>
      </c>
      <c r="F26" s="19">
        <f>F25*Assumptions!$B$24</f>
        <v/>
      </c>
      <c r="G26" s="19">
        <f>G25*Assumptions!$B$24</f>
        <v/>
      </c>
      <c r="H26" s="19">
        <f>H25*Assumptions!$B$24</f>
        <v/>
      </c>
      <c r="I26" s="19">
        <f>I25*Assumptions!$B$24</f>
        <v/>
      </c>
      <c r="J26" s="19">
        <f>J25*Assumptions!$B$24</f>
        <v/>
      </c>
      <c r="K26" s="19">
        <f>K25*Assumptions!$B$24</f>
        <v/>
      </c>
      <c r="L26" s="19">
        <f>L25*Assumptions!$B$24</f>
        <v/>
      </c>
      <c r="M26" s="19">
        <f>M25*Assumptions!$B$24</f>
        <v/>
      </c>
      <c r="N26" s="19">
        <f>SUM(B26:M26)</f>
        <v/>
      </c>
    </row>
    <row r="27">
      <c r="A27" s="20" t="inlineStr">
        <is>
          <t xml:space="preserve">  TOTAL CASH IN</t>
        </is>
      </c>
      <c r="B27" s="33">
        <f>B19+B20+B21+B22+B23+B24+B26</f>
        <v/>
      </c>
      <c r="C27" s="33">
        <f>C19+C20+C21+C22+C23+C24+C26</f>
        <v/>
      </c>
      <c r="D27" s="33">
        <f>D19+D20+D21+D22+D23+D24+D26</f>
        <v/>
      </c>
      <c r="E27" s="33">
        <f>E19+E20+E21+E22+E23+E24+E26</f>
        <v/>
      </c>
      <c r="F27" s="33">
        <f>F19+F20+F21+F22+F23+F24+F26</f>
        <v/>
      </c>
      <c r="G27" s="33">
        <f>G19+G20+G21+G22+G23+G24+G26</f>
        <v/>
      </c>
      <c r="H27" s="33">
        <f>H19+H20+H21+H22+H23+H24+H26</f>
        <v/>
      </c>
      <c r="I27" s="33">
        <f>I19+I20+I21+I22+I23+I24+I26</f>
        <v/>
      </c>
      <c r="J27" s="33">
        <f>J19+J20+J21+J22+J23+J24+J26</f>
        <v/>
      </c>
      <c r="K27" s="33">
        <f>K19+K20+K21+K22+K23+K24+K26</f>
        <v/>
      </c>
      <c r="L27" s="33">
        <f>L19+L20+L21+L22+L23+L24+L26</f>
        <v/>
      </c>
      <c r="M27" s="33">
        <f>M19+M20+M21+M22+M23+M24+M26</f>
        <v/>
      </c>
      <c r="N27" s="33">
        <f>SUM(B27:M27)</f>
        <v/>
      </c>
    </row>
    <row r="29">
      <c r="A29" s="4" t="inlineStr">
        <is>
          <t>CASH OUT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inlineStr">
        <is>
          <t xml:space="preserve">  Marketing (CAC × intro)</t>
        </is>
      </c>
      <c r="B30" s="19">
        <f>B6*Assumptions!$F$45</f>
        <v/>
      </c>
      <c r="C30" s="19">
        <f>C6*Assumptions!$F$45</f>
        <v/>
      </c>
      <c r="D30" s="19">
        <f>D6*Assumptions!$F$45</f>
        <v/>
      </c>
      <c r="E30" s="19">
        <f>E6*Assumptions!$F$45</f>
        <v/>
      </c>
      <c r="F30" s="19">
        <f>F6*Assumptions!$F$45</f>
        <v/>
      </c>
      <c r="G30" s="19">
        <f>G6*Assumptions!$F$45</f>
        <v/>
      </c>
      <c r="H30" s="19">
        <f>H6*Assumptions!$F$45</f>
        <v/>
      </c>
      <c r="I30" s="19">
        <f>I6*Assumptions!$F$45</f>
        <v/>
      </c>
      <c r="J30" s="19">
        <f>J6*Assumptions!$F$45</f>
        <v/>
      </c>
      <c r="K30" s="19">
        <f>K6*Assumptions!$F$45</f>
        <v/>
      </c>
      <c r="L30" s="19">
        <f>L6*Assumptions!$F$45</f>
        <v/>
      </c>
      <c r="M30" s="19">
        <f>M6*Assumptions!$F$45</f>
        <v/>
      </c>
      <c r="N30" s="19">
        <f>SUM(B30:M30)</f>
        <v/>
      </c>
    </row>
    <row r="31">
      <c r="A31" s="6" t="inlineStr">
        <is>
          <t xml:space="preserve">  Course delivery COGS</t>
        </is>
      </c>
      <c r="B31" s="19">
        <f>(B19+B20+B21+B22+B23)*Assumptions!$B$27</f>
        <v/>
      </c>
      <c r="C31" s="19">
        <f>(C19+C20+C21+C22+C23)*Assumptions!$B$27</f>
        <v/>
      </c>
      <c r="D31" s="19">
        <f>(D19+D20+D21+D22+D23)*Assumptions!$B$27</f>
        <v/>
      </c>
      <c r="E31" s="19">
        <f>(E19+E20+E21+E22+E23)*Assumptions!$B$27</f>
        <v/>
      </c>
      <c r="F31" s="19">
        <f>(F19+F20+F21+F22+F23)*Assumptions!$B$27</f>
        <v/>
      </c>
      <c r="G31" s="19">
        <f>(G19+G20+G21+G22+G23)*Assumptions!$B$27</f>
        <v/>
      </c>
      <c r="H31" s="19">
        <f>(H19+H20+H21+H22+H23)*Assumptions!$B$27</f>
        <v/>
      </c>
      <c r="I31" s="19">
        <f>(I19+I20+I21+I22+I23)*Assumptions!$B$27</f>
        <v/>
      </c>
      <c r="J31" s="19">
        <f>(J19+J20+J21+J22+J23)*Assumptions!$B$27</f>
        <v/>
      </c>
      <c r="K31" s="19">
        <f>(K19+K20+K21+K22+K23)*Assumptions!$B$27</f>
        <v/>
      </c>
      <c r="L31" s="19">
        <f>(L19+L20+L21+L22+L23)*Assumptions!$B$27</f>
        <v/>
      </c>
      <c r="M31" s="19">
        <f>(M19+M20+M21+M22+M23)*Assumptions!$B$27</f>
        <v/>
      </c>
      <c r="N31" s="19">
        <f>SUM(B31:M31)</f>
        <v/>
      </c>
    </row>
    <row r="32">
      <c r="A32" s="6" t="inlineStr">
        <is>
          <t xml:space="preserve">  Tool COGS</t>
        </is>
      </c>
      <c r="B32" s="19">
        <f>B24*(1-Assumptions!$B$22)</f>
        <v/>
      </c>
      <c r="C32" s="19">
        <f>C24*(1-Assumptions!$B$22)</f>
        <v/>
      </c>
      <c r="D32" s="19">
        <f>D24*(1-Assumptions!$B$22)</f>
        <v/>
      </c>
      <c r="E32" s="19">
        <f>E24*(1-Assumptions!$B$22)</f>
        <v/>
      </c>
      <c r="F32" s="19">
        <f>F24*(1-Assumptions!$B$22)</f>
        <v/>
      </c>
      <c r="G32" s="19">
        <f>G24*(1-Assumptions!$B$22)</f>
        <v/>
      </c>
      <c r="H32" s="19">
        <f>H24*(1-Assumptions!$B$22)</f>
        <v/>
      </c>
      <c r="I32" s="19">
        <f>I24*(1-Assumptions!$B$22)</f>
        <v/>
      </c>
      <c r="J32" s="19">
        <f>J24*(1-Assumptions!$B$22)</f>
        <v/>
      </c>
      <c r="K32" s="19">
        <f>K24*(1-Assumptions!$B$22)</f>
        <v/>
      </c>
      <c r="L32" s="19">
        <f>L24*(1-Assumptions!$B$22)</f>
        <v/>
      </c>
      <c r="M32" s="19">
        <f>M24*(1-Assumptions!$B$22)</f>
        <v/>
      </c>
      <c r="N32" s="19">
        <f>SUM(B32:M32)</f>
        <v/>
      </c>
    </row>
    <row r="33">
      <c r="A33" s="6" t="inlineStr">
        <is>
          <t xml:space="preserve">  Film COGS</t>
        </is>
      </c>
      <c r="B33" s="19">
        <f>B26*(1-Assumptions!$B$25)</f>
        <v/>
      </c>
      <c r="C33" s="19">
        <f>C26*(1-Assumptions!$B$25)</f>
        <v/>
      </c>
      <c r="D33" s="19">
        <f>D26*(1-Assumptions!$B$25)</f>
        <v/>
      </c>
      <c r="E33" s="19">
        <f>E26*(1-Assumptions!$B$25)</f>
        <v/>
      </c>
      <c r="F33" s="19">
        <f>F26*(1-Assumptions!$B$25)</f>
        <v/>
      </c>
      <c r="G33" s="19">
        <f>G26*(1-Assumptions!$B$25)</f>
        <v/>
      </c>
      <c r="H33" s="19">
        <f>H26*(1-Assumptions!$B$25)</f>
        <v/>
      </c>
      <c r="I33" s="19">
        <f>I26*(1-Assumptions!$B$25)</f>
        <v/>
      </c>
      <c r="J33" s="19">
        <f>J26*(1-Assumptions!$B$25)</f>
        <v/>
      </c>
      <c r="K33" s="19">
        <f>K26*(1-Assumptions!$B$25)</f>
        <v/>
      </c>
      <c r="L33" s="19">
        <f>L26*(1-Assumptions!$B$25)</f>
        <v/>
      </c>
      <c r="M33" s="19">
        <f>M26*(1-Assumptions!$B$25)</f>
        <v/>
      </c>
      <c r="N33" s="19">
        <f>SUM(B33:M33)</f>
        <v/>
      </c>
    </row>
    <row r="34">
      <c r="A34" s="6" t="inlineStr">
        <is>
          <t xml:space="preserve">  Fixed OpEx (team+sw+legal+G&amp;A+brand)/12</t>
        </is>
      </c>
      <c r="B34" s="19">
        <f>(Assumptions!$B$28+Assumptions!$B$29+Assumptions!$B$30+Assumptions!$B$31+Assumptions!$B$32)/12</f>
        <v/>
      </c>
      <c r="C34" s="19">
        <f>(Assumptions!$B$28+Assumptions!$B$29+Assumptions!$B$30+Assumptions!$B$31+Assumptions!$B$32)/12</f>
        <v/>
      </c>
      <c r="D34" s="19">
        <f>(Assumptions!$B$28+Assumptions!$B$29+Assumptions!$B$30+Assumptions!$B$31+Assumptions!$B$32)/12</f>
        <v/>
      </c>
      <c r="E34" s="19">
        <f>(Assumptions!$B$28+Assumptions!$B$29+Assumptions!$B$30+Assumptions!$B$31+Assumptions!$B$32)/12</f>
        <v/>
      </c>
      <c r="F34" s="19">
        <f>(Assumptions!$B$28+Assumptions!$B$29+Assumptions!$B$30+Assumptions!$B$31+Assumptions!$B$32)/12</f>
        <v/>
      </c>
      <c r="G34" s="19">
        <f>(Assumptions!$B$28+Assumptions!$B$29+Assumptions!$B$30+Assumptions!$B$31+Assumptions!$B$32)/12</f>
        <v/>
      </c>
      <c r="H34" s="19">
        <f>(Assumptions!$B$28+Assumptions!$B$29+Assumptions!$B$30+Assumptions!$B$31+Assumptions!$B$32)/12</f>
        <v/>
      </c>
      <c r="I34" s="19">
        <f>(Assumptions!$B$28+Assumptions!$B$29+Assumptions!$B$30+Assumptions!$B$31+Assumptions!$B$32)/12</f>
        <v/>
      </c>
      <c r="J34" s="19">
        <f>(Assumptions!$B$28+Assumptions!$B$29+Assumptions!$B$30+Assumptions!$B$31+Assumptions!$B$32)/12</f>
        <v/>
      </c>
      <c r="K34" s="19">
        <f>(Assumptions!$B$28+Assumptions!$B$29+Assumptions!$B$30+Assumptions!$B$31+Assumptions!$B$32)/12</f>
        <v/>
      </c>
      <c r="L34" s="19">
        <f>(Assumptions!$B$28+Assumptions!$B$29+Assumptions!$B$30+Assumptions!$B$31+Assumptions!$B$32)/12</f>
        <v/>
      </c>
      <c r="M34" s="19">
        <f>(Assumptions!$B$28+Assumptions!$B$29+Assumptions!$B$30+Assumptions!$B$31+Assumptions!$B$32)/12</f>
        <v/>
      </c>
      <c r="N34" s="19">
        <f>SUM(B34:M34)</f>
        <v/>
      </c>
    </row>
    <row r="35">
      <c r="A35" s="20" t="inlineStr">
        <is>
          <t xml:space="preserve">  TOTAL CASH OUT</t>
        </is>
      </c>
      <c r="B35" s="33">
        <f>B30+B31+B32+B33+B34</f>
        <v/>
      </c>
      <c r="C35" s="33">
        <f>C30+C31+C32+C33+C34</f>
        <v/>
      </c>
      <c r="D35" s="33">
        <f>D30+D31+D32+D33+D34</f>
        <v/>
      </c>
      <c r="E35" s="33">
        <f>E30+E31+E32+E33+E34</f>
        <v/>
      </c>
      <c r="F35" s="33">
        <f>F30+F31+F32+F33+F34</f>
        <v/>
      </c>
      <c r="G35" s="33">
        <f>G30+G31+G32+G33+G34</f>
        <v/>
      </c>
      <c r="H35" s="33">
        <f>H30+H31+H32+H33+H34</f>
        <v/>
      </c>
      <c r="I35" s="33">
        <f>I30+I31+I32+I33+I34</f>
        <v/>
      </c>
      <c r="J35" s="33">
        <f>J30+J31+J32+J33+J34</f>
        <v/>
      </c>
      <c r="K35" s="33">
        <f>K30+K31+K32+K33+K34</f>
        <v/>
      </c>
      <c r="L35" s="33">
        <f>L30+L31+L32+L33+L34</f>
        <v/>
      </c>
      <c r="M35" s="33">
        <f>M30+M31+M32+M33+M34</f>
        <v/>
      </c>
      <c r="N35" s="33">
        <f>SUM(B35:M35)</f>
        <v/>
      </c>
    </row>
    <row r="37">
      <c r="A37" s="4" t="inlineStr">
        <is>
          <t>NET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20" t="inlineStr">
        <is>
          <t xml:space="preserve">  Net cash flow</t>
        </is>
      </c>
      <c r="B38" s="21">
        <f>B27-B35</f>
        <v/>
      </c>
      <c r="C38" s="21">
        <f>C27-C35</f>
        <v/>
      </c>
      <c r="D38" s="21">
        <f>D27-D35</f>
        <v/>
      </c>
      <c r="E38" s="21">
        <f>E27-E35</f>
        <v/>
      </c>
      <c r="F38" s="21">
        <f>F27-F35</f>
        <v/>
      </c>
      <c r="G38" s="21">
        <f>G27-G35</f>
        <v/>
      </c>
      <c r="H38" s="21">
        <f>H27-H35</f>
        <v/>
      </c>
      <c r="I38" s="21">
        <f>I27-I35</f>
        <v/>
      </c>
      <c r="J38" s="21">
        <f>J27-J35</f>
        <v/>
      </c>
      <c r="K38" s="21">
        <f>K27-K35</f>
        <v/>
      </c>
      <c r="L38" s="21">
        <f>L27-L35</f>
        <v/>
      </c>
      <c r="M38" s="21">
        <f>M27-M35</f>
        <v/>
      </c>
      <c r="N38" s="21">
        <f>SUM(B38:M38)</f>
        <v/>
      </c>
    </row>
    <row r="39">
      <c r="A39" s="20" t="inlineStr">
        <is>
          <t xml:space="preserve">  Cumulative cash</t>
        </is>
      </c>
      <c r="B39" s="23">
        <f>B38</f>
        <v/>
      </c>
      <c r="C39" s="23">
        <f>B39+C38</f>
        <v/>
      </c>
      <c r="D39" s="23">
        <f>C39+D38</f>
        <v/>
      </c>
      <c r="E39" s="23">
        <f>D39+E38</f>
        <v/>
      </c>
      <c r="F39" s="23">
        <f>E39+F38</f>
        <v/>
      </c>
      <c r="G39" s="23">
        <f>F39+G38</f>
        <v/>
      </c>
      <c r="H39" s="23">
        <f>G39+H38</f>
        <v/>
      </c>
      <c r="I39" s="23">
        <f>H39+I38</f>
        <v/>
      </c>
      <c r="J39" s="23">
        <f>I39+J38</f>
        <v/>
      </c>
      <c r="K39" s="23">
        <f>J39+K38</f>
        <v/>
      </c>
      <c r="L39" s="23">
        <f>K39+L38</f>
        <v/>
      </c>
      <c r="M39" s="23">
        <f>L39+M38</f>
        <v/>
      </c>
      <c r="N39" s="23">
        <f>M39</f>
        <v/>
      </c>
    </row>
    <row r="41">
      <c r="A41" s="20" t="inlineStr">
        <is>
          <t>Peak funding need (lowest cumulative cash)</t>
        </is>
      </c>
      <c r="B41" s="34">
        <f>MIN(B39:M39)</f>
        <v/>
      </c>
    </row>
    <row r="42">
      <c r="A42" s="20" t="inlineStr">
        <is>
          <t>Ending cash (Month 12)</t>
        </is>
      </c>
      <c r="B42" s="23">
        <f>M39</f>
        <v/>
      </c>
    </row>
    <row r="43">
      <c r="A43" s="6" t="inlineStr">
        <is>
          <t>Month turns cash-flow positive (net&gt;0)</t>
        </is>
      </c>
    </row>
    <row r="44">
      <c r="A44" s="35" t="inlineStr">
        <is>
          <t>NOTE: If Diploma/Mastery use 3rd-party financing (paid upfront) instead of monthly, cash-in is earlier and the trough shrinks. Change the installment rows to model that.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3-YEAR PROJECTION (annualised cohort basis, RM)</t>
        </is>
      </c>
    </row>
    <row r="2" ht="28" customHeight="1">
      <c r="A2" s="35" t="inlineStr">
        <is>
          <t>Long-program fees annualised over duration; cohorts overlap across years. Blue=input, yellow=lever. NOTE: Year 1 here uses an annualised method, so it reads higher than the deliberately-conservative 'P&amp;L (Year 1)' tab.</t>
        </is>
      </c>
    </row>
    <row r="4">
      <c r="A4" s="15" t="inlineStr">
        <is>
          <t>Line item (RM)</t>
        </is>
      </c>
      <c r="B4" s="16" t="inlineStr">
        <is>
          <t>Year 1</t>
        </is>
      </c>
      <c r="C4" s="16" t="inlineStr">
        <is>
          <t>Year 2</t>
        </is>
      </c>
      <c r="D4" s="16" t="inlineStr">
        <is>
          <t>Year 3</t>
        </is>
      </c>
    </row>
    <row r="5">
      <c r="A5" s="4" t="inlineStr">
        <is>
          <t>INPUTS (edit these)</t>
        </is>
      </c>
      <c r="B5" s="5" t="n"/>
      <c r="C5" s="5" t="n"/>
      <c r="D5" s="5" t="n"/>
    </row>
    <row r="6">
      <c r="A6" s="6" t="inlineStr">
        <is>
          <t xml:space="preserve">  Intro buyers / year</t>
        </is>
      </c>
      <c r="B6" s="31" t="n">
        <v>2000</v>
      </c>
      <c r="C6" s="31" t="n">
        <v>5000</v>
      </c>
      <c r="D6" s="31" t="n">
        <v>10000</v>
      </c>
    </row>
    <row r="7">
      <c r="A7" s="6" t="inlineStr">
        <is>
          <t xml:space="preserve">  CAC per intro (RM)</t>
        </is>
      </c>
      <c r="B7" s="36" t="n">
        <v>150</v>
      </c>
      <c r="C7" s="36" t="n">
        <v>130</v>
      </c>
      <c r="D7" s="36" t="n">
        <v>110</v>
      </c>
    </row>
    <row r="8">
      <c r="A8" s="6" t="inlineStr">
        <is>
          <t xml:space="preserve">  Films delivered / year</t>
        </is>
      </c>
      <c r="B8" s="31" t="n">
        <v>8</v>
      </c>
      <c r="C8" s="31" t="n">
        <v>20</v>
      </c>
      <c r="D8" s="31" t="n">
        <v>40</v>
      </c>
    </row>
    <row r="9">
      <c r="A9" s="6" t="inlineStr">
        <is>
          <t xml:space="preserve">  Team salaries / year</t>
        </is>
      </c>
      <c r="B9" s="36" t="n">
        <v>720000</v>
      </c>
      <c r="C9" s="36" t="n">
        <v>1400000</v>
      </c>
      <c r="D9" s="36" t="n">
        <v>2400000</v>
      </c>
    </row>
    <row r="10">
      <c r="A10" s="6" t="inlineStr">
        <is>
          <t xml:space="preserve">  Software / platform / year</t>
        </is>
      </c>
      <c r="B10" s="36" t="n">
        <v>120000</v>
      </c>
      <c r="C10" s="36" t="n">
        <v>200000</v>
      </c>
      <c r="D10" s="36" t="n">
        <v>320000</v>
      </c>
    </row>
    <row r="11">
      <c r="A11" s="6" t="inlineStr">
        <is>
          <t xml:space="preserve">  Legal / compliance / year</t>
        </is>
      </c>
      <c r="B11" s="36" t="n">
        <v>80000</v>
      </c>
      <c r="C11" s="36" t="n">
        <v>120000</v>
      </c>
      <c r="D11" s="36" t="n">
        <v>180000</v>
      </c>
    </row>
    <row r="12">
      <c r="A12" s="6" t="inlineStr">
        <is>
          <t xml:space="preserve">  G&amp;A / year</t>
        </is>
      </c>
      <c r="B12" s="36" t="n">
        <v>100000</v>
      </c>
      <c r="C12" s="36" t="n">
        <v>200000</v>
      </c>
      <c r="D12" s="36" t="n">
        <v>350000</v>
      </c>
    </row>
    <row r="13">
      <c r="A13" s="6" t="inlineStr">
        <is>
          <t xml:space="preserve">  Brand marketing / year</t>
        </is>
      </c>
      <c r="B13" s="36" t="n">
        <v>100000</v>
      </c>
      <c r="C13" s="36" t="n">
        <v>250000</v>
      </c>
      <c r="D13" s="36" t="n">
        <v>500000</v>
      </c>
    </row>
    <row r="14">
      <c r="A14" s="6" t="inlineStr">
        <is>
          <t xml:space="preserve">  Tool annual retention %</t>
        </is>
      </c>
      <c r="B14" s="37" t="n">
        <v>0.54</v>
      </c>
      <c r="C14" s="37" t="n">
        <v>0.54</v>
      </c>
      <c r="D14" s="37" t="n">
        <v>0.54</v>
      </c>
    </row>
    <row r="16">
      <c r="A16" s="4" t="inlineStr">
        <is>
          <t>VOLUMES (new enrolments unless noted)</t>
        </is>
      </c>
      <c r="B16" s="5" t="n"/>
      <c r="C16" s="5" t="n"/>
      <c r="D16" s="5" t="n"/>
    </row>
    <row r="17">
      <c r="A17" s="6" t="inlineStr">
        <is>
          <t xml:space="preserve">  Bootcamp</t>
        </is>
      </c>
      <c r="B17" s="18">
        <f>B6*Assumptions!$B$15</f>
        <v/>
      </c>
      <c r="C17" s="18">
        <f>C6*Assumptions!$B$15</f>
        <v/>
      </c>
      <c r="D17" s="18">
        <f>D6*Assumptions!$B$15</f>
        <v/>
      </c>
    </row>
    <row r="18">
      <c r="A18" s="6" t="inlineStr">
        <is>
          <t xml:space="preserve">  Certificate (new)</t>
        </is>
      </c>
      <c r="B18" s="18">
        <f>B17*Assumptions!$B$16</f>
        <v/>
      </c>
      <c r="C18" s="18">
        <f>C17*Assumptions!$B$16</f>
        <v/>
      </c>
      <c r="D18" s="18">
        <f>D17*Assumptions!$B$16</f>
        <v/>
      </c>
    </row>
    <row r="19">
      <c r="A19" s="6" t="inlineStr">
        <is>
          <t xml:space="preserve">  Diploma (new)</t>
        </is>
      </c>
      <c r="B19" s="18">
        <f>B18*Assumptions!$B$17</f>
        <v/>
      </c>
      <c r="C19" s="18">
        <f>C18*Assumptions!$B$17</f>
        <v/>
      </c>
      <c r="D19" s="18">
        <f>D18*Assumptions!$B$17</f>
        <v/>
      </c>
    </row>
    <row r="20">
      <c r="A20" s="6" t="inlineStr">
        <is>
          <t xml:space="preserve">  Mastery (new)</t>
        </is>
      </c>
      <c r="B20" s="18">
        <f>B19*Assumptions!$B$18</f>
        <v/>
      </c>
      <c r="C20" s="18">
        <f>C19*Assumptions!$B$18</f>
        <v/>
      </c>
      <c r="D20" s="18">
        <f>D19*Assumptions!$B$18</f>
        <v/>
      </c>
    </row>
    <row r="21">
      <c r="A21" s="6" t="inlineStr">
        <is>
          <t xml:space="preserve">  Diploma ACTIVE (2-yr overlap)</t>
        </is>
      </c>
      <c r="B21" s="18">
        <f>B19</f>
        <v/>
      </c>
      <c r="C21" s="18">
        <f>C19+B19</f>
        <v/>
      </c>
      <c r="D21" s="18">
        <f>D19+C19</f>
        <v/>
      </c>
    </row>
    <row r="22">
      <c r="A22" s="6" t="inlineStr">
        <is>
          <t xml:space="preserve">  Mastery ACTIVE (multi-yr overlap)</t>
        </is>
      </c>
      <c r="B22" s="18">
        <f>B20</f>
        <v/>
      </c>
      <c r="C22" s="18">
        <f>C20+B20</f>
        <v/>
      </c>
      <c r="D22" s="18">
        <f>D20+C20+B20</f>
        <v/>
      </c>
    </row>
    <row r="23">
      <c r="A23" s="6" t="inlineStr">
        <is>
          <t xml:space="preserve">  Tool new paying subs (boot × paid%)</t>
        </is>
      </c>
      <c r="B23" s="18">
        <f>B17*Assumptions!$F$44</f>
        <v/>
      </c>
      <c r="C23" s="18">
        <f>C17*Assumptions!$F$44</f>
        <v/>
      </c>
      <c r="D23" s="18">
        <f>D17*Assumptions!$F$44</f>
        <v/>
      </c>
    </row>
    <row r="24">
      <c r="A24" s="6" t="inlineStr">
        <is>
          <t xml:space="preserve">  Tool ACTIVE subs (retained + new)</t>
        </is>
      </c>
      <c r="B24" s="18">
        <f>B23</f>
        <v/>
      </c>
      <c r="C24" s="18">
        <f>B24*C14+C23</f>
        <v/>
      </c>
      <c r="D24" s="18">
        <f>C24*D14+D23</f>
        <v/>
      </c>
    </row>
    <row r="26">
      <c r="A26" s="4" t="inlineStr">
        <is>
          <t>REVENUE (annualised)</t>
        </is>
      </c>
      <c r="B26" s="5" t="n"/>
      <c r="C26" s="5" t="n"/>
      <c r="D26" s="5" t="n"/>
    </row>
    <row r="27">
      <c r="A27" s="6" t="inlineStr">
        <is>
          <t xml:space="preserve">  Intro</t>
        </is>
      </c>
      <c r="B27" s="19">
        <f>B6*Assumptions!$B$4</f>
        <v/>
      </c>
      <c r="C27" s="19">
        <f>C6*Assumptions!$B$4</f>
        <v/>
      </c>
      <c r="D27" s="19">
        <f>D6*Assumptions!$B$4</f>
        <v/>
      </c>
    </row>
    <row r="28">
      <c r="A28" s="6" t="inlineStr">
        <is>
          <t xml:space="preserve">  Bootcamp</t>
        </is>
      </c>
      <c r="B28" s="19">
        <f>B17*(Assumptions!$B$5*Assumptions!$B$7+Assumptions!$B$6*(1-Assumptions!$B$7))</f>
        <v/>
      </c>
      <c r="C28" s="19">
        <f>C17*(Assumptions!$B$5*Assumptions!$B$7+Assumptions!$B$6*(1-Assumptions!$B$7))</f>
        <v/>
      </c>
      <c r="D28" s="19">
        <f>D17*(Assumptions!$B$5*Assumptions!$B$7+Assumptions!$B$6*(1-Assumptions!$B$7))</f>
        <v/>
      </c>
    </row>
    <row r="29">
      <c r="A29" s="6" t="inlineStr">
        <is>
          <t xml:space="preserve">  Certificate (1-yr, full)</t>
        </is>
      </c>
      <c r="B29" s="19">
        <f>B18*(Assumptions!$B$8*Assumptions!$B$10+Assumptions!$B$9*(1-Assumptions!$B$10))</f>
        <v/>
      </c>
      <c r="C29" s="19">
        <f>C18*(Assumptions!$B$8*Assumptions!$B$10+Assumptions!$B$9*(1-Assumptions!$B$10))</f>
        <v/>
      </c>
      <c r="D29" s="19">
        <f>D18*(Assumptions!$B$8*Assumptions!$B$10+Assumptions!$B$9*(1-Assumptions!$B$10))</f>
        <v/>
      </c>
    </row>
    <row r="30">
      <c r="A30" s="6" t="inlineStr">
        <is>
          <t xml:space="preserve">  Diploma (active × RM/yr)</t>
        </is>
      </c>
      <c r="B30" s="19">
        <f>B21*(Assumptions!$B$11/2)</f>
        <v/>
      </c>
      <c r="C30" s="19">
        <f>C21*(Assumptions!$B$11/2)</f>
        <v/>
      </c>
      <c r="D30" s="19">
        <f>D21*(Assumptions!$B$11/2)</f>
        <v/>
      </c>
    </row>
    <row r="31">
      <c r="A31" s="6" t="inlineStr">
        <is>
          <t xml:space="preserve">  Mastery (active × RM/yr)</t>
        </is>
      </c>
      <c r="B31" s="19">
        <f>B22*(Assumptions!$B$12/4)</f>
        <v/>
      </c>
      <c r="C31" s="19">
        <f>C22*(Assumptions!$B$12/4)</f>
        <v/>
      </c>
      <c r="D31" s="19">
        <f>D22*(Assumptions!$B$12/4)</f>
        <v/>
      </c>
    </row>
    <row r="32">
      <c r="A32" s="20" t="inlineStr">
        <is>
          <t xml:space="preserve">  Course revenue</t>
        </is>
      </c>
      <c r="B32" s="21">
        <f>SUM(B27:B31)</f>
        <v/>
      </c>
      <c r="C32" s="21">
        <f>SUM(C27:C31)</f>
        <v/>
      </c>
      <c r="D32" s="21">
        <f>SUM(D27:D31)</f>
        <v/>
      </c>
    </row>
    <row r="33">
      <c r="A33" s="6" t="inlineStr">
        <is>
          <t xml:space="preserve">  Tool revenue (active × RM/mo × 12)</t>
        </is>
      </c>
      <c r="B33" s="19">
        <f>B24*Assumptions!$B$13*12</f>
        <v/>
      </c>
      <c r="C33" s="19">
        <f>C24*Assumptions!$B$13*12</f>
        <v/>
      </c>
      <c r="D33" s="19">
        <f>D24*Assumptions!$B$13*12</f>
        <v/>
      </c>
    </row>
    <row r="34">
      <c r="A34" s="6" t="inlineStr">
        <is>
          <t xml:space="preserve">  Film revenue (DFY)</t>
        </is>
      </c>
      <c r="B34" s="19">
        <f>B8*Assumptions!$B$24</f>
        <v/>
      </c>
      <c r="C34" s="19">
        <f>C8*Assumptions!$B$24</f>
        <v/>
      </c>
      <c r="D34" s="19">
        <f>D8*Assumptions!$B$24</f>
        <v/>
      </c>
    </row>
    <row r="35">
      <c r="A35" s="20" t="inlineStr">
        <is>
          <t xml:space="preserve">  TOTAL REVENUE</t>
        </is>
      </c>
      <c r="B35" s="33">
        <f>B32+B33+B34</f>
        <v/>
      </c>
      <c r="C35" s="33">
        <f>C32+C33+C34</f>
        <v/>
      </c>
      <c r="D35" s="33">
        <f>D32+D33+D34</f>
        <v/>
      </c>
    </row>
    <row r="37">
      <c r="A37" s="4" t="inlineStr">
        <is>
          <t>COST OF DELIVERY</t>
        </is>
      </c>
      <c r="B37" s="5" t="n"/>
      <c r="C37" s="5" t="n"/>
      <c r="D37" s="5" t="n"/>
    </row>
    <row r="38">
      <c r="A38" s="6" t="inlineStr">
        <is>
          <t xml:space="preserve">  Course COGS</t>
        </is>
      </c>
      <c r="B38" s="19">
        <f>B32*Assumptions!$B$27</f>
        <v/>
      </c>
      <c r="C38" s="19">
        <f>C32*Assumptions!$B$27</f>
        <v/>
      </c>
      <c r="D38" s="19">
        <f>D32*Assumptions!$B$27</f>
        <v/>
      </c>
    </row>
    <row r="39">
      <c r="A39" s="6" t="inlineStr">
        <is>
          <t xml:space="preserve">  Tool COGS</t>
        </is>
      </c>
      <c r="B39" s="19">
        <f>B33*(1-Assumptions!$B$22)</f>
        <v/>
      </c>
      <c r="C39" s="19">
        <f>C33*(1-Assumptions!$B$22)</f>
        <v/>
      </c>
      <c r="D39" s="19">
        <f>D33*(1-Assumptions!$B$22)</f>
        <v/>
      </c>
    </row>
    <row r="40">
      <c r="A40" s="6" t="inlineStr">
        <is>
          <t xml:space="preserve">  Film COGS</t>
        </is>
      </c>
      <c r="B40" s="19">
        <f>B34*(1-Assumptions!$B$25)</f>
        <v/>
      </c>
      <c r="C40" s="19">
        <f>C34*(1-Assumptions!$B$25)</f>
        <v/>
      </c>
      <c r="D40" s="19">
        <f>D34*(1-Assumptions!$B$25)</f>
        <v/>
      </c>
    </row>
    <row r="41">
      <c r="A41" s="20" t="inlineStr">
        <is>
          <t xml:space="preserve">  Total COGS</t>
        </is>
      </c>
      <c r="B41" s="21">
        <f>SUM(B38:B40)</f>
        <v/>
      </c>
      <c r="C41" s="21">
        <f>SUM(C38:C40)</f>
        <v/>
      </c>
      <c r="D41" s="21">
        <f>SUM(D38:D40)</f>
        <v/>
      </c>
    </row>
    <row r="42">
      <c r="A42" s="20" t="inlineStr">
        <is>
          <t xml:space="preserve">  GROSS PROFIT</t>
        </is>
      </c>
      <c r="B42" s="21">
        <f>B35-B41</f>
        <v/>
      </c>
      <c r="C42" s="21">
        <f>C35-C41</f>
        <v/>
      </c>
      <c r="D42" s="21">
        <f>D35-D41</f>
        <v/>
      </c>
    </row>
    <row r="43">
      <c r="A43" s="6" t="inlineStr">
        <is>
          <t xml:space="preserve">  Gross margin %</t>
        </is>
      </c>
      <c r="B43" s="22">
        <f>B42/B35</f>
        <v/>
      </c>
      <c r="C43" s="22">
        <f>C42/C35</f>
        <v/>
      </c>
      <c r="D43" s="22">
        <f>D42/D35</f>
        <v/>
      </c>
    </row>
    <row r="45">
      <c r="A45" s="4" t="inlineStr">
        <is>
          <t>OPERATING EXPENSES</t>
        </is>
      </c>
      <c r="B45" s="5" t="n"/>
      <c r="C45" s="5" t="n"/>
      <c r="D45" s="5" t="n"/>
    </row>
    <row r="46">
      <c r="A46" s="6" t="inlineStr">
        <is>
          <t xml:space="preserve">  Marketing (CAC × intro + brand)</t>
        </is>
      </c>
      <c r="B46" s="19">
        <f>B6*B7+B13</f>
        <v/>
      </c>
      <c r="C46" s="19">
        <f>C6*C7+C13</f>
        <v/>
      </c>
      <c r="D46" s="19">
        <f>D6*D7+D13</f>
        <v/>
      </c>
    </row>
    <row r="47">
      <c r="A47" s="6" t="inlineStr">
        <is>
          <t xml:space="preserve">  Team salaries</t>
        </is>
      </c>
      <c r="B47" s="19">
        <f>B9</f>
        <v/>
      </c>
      <c r="C47" s="19">
        <f>C9</f>
        <v/>
      </c>
      <c r="D47" s="19">
        <f>D9</f>
        <v/>
      </c>
    </row>
    <row r="48">
      <c r="A48" s="6" t="inlineStr">
        <is>
          <t xml:space="preserve">  Software / platform</t>
        </is>
      </c>
      <c r="B48" s="19">
        <f>B10</f>
        <v/>
      </c>
      <c r="C48" s="19">
        <f>C10</f>
        <v/>
      </c>
      <c r="D48" s="19">
        <f>D10</f>
        <v/>
      </c>
    </row>
    <row r="49">
      <c r="A49" s="6" t="inlineStr">
        <is>
          <t xml:space="preserve">  Legal / compliance</t>
        </is>
      </c>
      <c r="B49" s="19">
        <f>B11</f>
        <v/>
      </c>
      <c r="C49" s="19">
        <f>C11</f>
        <v/>
      </c>
      <c r="D49" s="19">
        <f>D11</f>
        <v/>
      </c>
    </row>
    <row r="50">
      <c r="A50" s="6" t="inlineStr">
        <is>
          <t xml:space="preserve">  G&amp;A</t>
        </is>
      </c>
      <c r="B50" s="19">
        <f>B12</f>
        <v/>
      </c>
      <c r="C50" s="19">
        <f>C12</f>
        <v/>
      </c>
      <c r="D50" s="19">
        <f>D12</f>
        <v/>
      </c>
    </row>
    <row r="51">
      <c r="A51" s="20" t="inlineStr">
        <is>
          <t xml:space="preserve">  Total OpEx</t>
        </is>
      </c>
      <c r="B51" s="21">
        <f>SUM(B46:B50)</f>
        <v/>
      </c>
      <c r="C51" s="21">
        <f>SUM(C46:C50)</f>
        <v/>
      </c>
      <c r="D51" s="21">
        <f>SUM(D46:D50)</f>
        <v/>
      </c>
    </row>
    <row r="52">
      <c r="A52" s="20" t="inlineStr">
        <is>
          <t xml:space="preserve">  EBITDA</t>
        </is>
      </c>
      <c r="B52" s="23">
        <f>B42-B51</f>
        <v/>
      </c>
      <c r="C52" s="23">
        <f>C42-C51</f>
        <v/>
      </c>
      <c r="D52" s="23">
        <f>D42-D51</f>
        <v/>
      </c>
    </row>
    <row r="53">
      <c r="A53" s="6" t="inlineStr">
        <is>
          <t xml:space="preserve">  EBITDA margin %</t>
        </is>
      </c>
      <c r="B53" s="22">
        <f>B52/B35</f>
        <v/>
      </c>
      <c r="C53" s="22">
        <f>C52/C35</f>
        <v/>
      </c>
      <c r="D53" s="22">
        <f>D52/D35</f>
        <v/>
      </c>
    </row>
    <row r="55">
      <c r="A55" s="4" t="inlineStr">
        <is>
          <t>MEMO</t>
        </is>
      </c>
      <c r="B55" s="5" t="n"/>
      <c r="C55" s="5" t="n"/>
      <c r="D55" s="5" t="n"/>
    </row>
    <row r="56">
      <c r="A56" s="6" t="inlineStr">
        <is>
          <t xml:space="preserve">  Cumulative EBITDA (3-yr)</t>
        </is>
      </c>
      <c r="B56" s="38">
        <f>B52</f>
        <v/>
      </c>
      <c r="C56" s="38">
        <f>B52+C52</f>
        <v/>
      </c>
      <c r="D56" s="34">
        <f>B52+C52+D52</f>
        <v/>
      </c>
    </row>
    <row r="57">
      <c r="A57" s="6" t="inlineStr">
        <is>
          <t xml:space="preserve">  Ending tool ARR (run-rate)</t>
        </is>
      </c>
      <c r="B57" s="19">
        <f>B24*Assumptions!$B$13*12</f>
        <v/>
      </c>
      <c r="C57" s="19">
        <f>C24*Assumptions!$B$13*12</f>
        <v/>
      </c>
      <c r="D57" s="19">
        <f>D24*Assumptions!$B$13*12</f>
        <v/>
      </c>
    </row>
    <row r="58">
      <c r="A58" s="6" t="inlineStr">
        <is>
          <t xml:space="preserve">  Revenue CAGR (Y1→Y3)</t>
        </is>
      </c>
      <c r="D58" s="39">
        <f>(D35/B35)^(1/2)-1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2026-07-28T05:18:56Z</dcterms:created>
  <dcterms:modified xmlns:dcterms="http://purl.org/dc/terms/" xmlns:xsi="http://www.w3.org/2001/XMLSchema-instance" xsi:type="dcterms:W3CDTF">2026-07-28T11:19:50Z</dcterms:modified>
</cp:coreProperties>
</file>