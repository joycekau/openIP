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(Year 1)" sheetId="3" state="visible" r:id="rId3"/>
    <sheet xmlns:r="http://schemas.openxmlformats.org/officeDocument/2006/relationships" name="Unit Economi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M#,##0;(RM#,##0);&quot;-&quot;"/>
    <numFmt numFmtId="165" formatCode="0.0%"/>
    <numFmt numFmtId="166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color rgb="00FFFFFF"/>
      <sz val="11"/>
    </font>
    <font>
      <name val="Arial"/>
      <color rgb="000000FF"/>
    </font>
    <font>
      <name val="Arial"/>
      <color rgb="00999999"/>
      <sz val="8"/>
    </font>
    <font>
      <name val="Arial"/>
      <b val="1"/>
      <color rgb="00FFFFFF"/>
    </font>
    <font>
      <name val="Arial"/>
      <b val="1"/>
    </font>
    <font>
      <name val="Arial"/>
      <color rgb="00000000"/>
    </font>
    <font>
      <name val="Arial"/>
      <i val="1"/>
      <color rgb="00777777"/>
      <sz val="8"/>
    </font>
    <font>
      <name val="Arial"/>
      <color rgb="00008000"/>
    </font>
  </fonts>
  <fills count="7">
    <fill>
      <patternFill/>
    </fill>
    <fill>
      <patternFill patternType="gray125"/>
    </fill>
    <fill>
      <patternFill patternType="solid">
        <fgColor rgb="001B1232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3" fontId="4" fillId="3" borderId="0" pivotButton="0" quotePrefix="0" xfId="0"/>
    <xf numFmtId="166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right"/>
    </xf>
    <xf numFmtId="0" fontId="7" fillId="4" borderId="0" pivotButton="0" quotePrefix="0" xfId="0"/>
    <xf numFmtId="3" fontId="8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0" fontId="9" fillId="0" borderId="0" pivotButton="0" quotePrefix="0" xfId="0"/>
    <xf numFmtId="165" fontId="10" fillId="0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0" borderId="0" applyAlignment="1" pivotButton="0" quotePrefix="0" xfId="0">
      <alignment horizontal="right"/>
    </xf>
    <xf numFmtId="3" fontId="7" fillId="6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3"/>
  <sheetViews>
    <sheetView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" t="inlineStr">
        <is>
          <t>AI Academy + AI Tools + AI Film Studio — Financial Model / Business Case</t>
        </is>
      </c>
    </row>
    <row r="2">
      <c r="B2" s="2" t="inlineStr"/>
    </row>
    <row r="3">
      <c r="B3" s="2" t="inlineStr">
        <is>
          <t>PURPOSE — a working model of the OPC business: the course ladder, recurring AI-tool revenue, and the AI Film Studio.</t>
        </is>
      </c>
    </row>
    <row r="4">
      <c r="B4" s="2" t="inlineStr">
        <is>
          <t>Prepared 2026-07-28. Currency: MYR (RM). All figures ILLUSTRATIVE — edit the Assumptions tab and everything recomputes.</t>
        </is>
      </c>
    </row>
    <row r="5">
      <c r="B5" s="2" t="inlineStr"/>
    </row>
    <row r="6">
      <c r="B6" s="2" t="inlineStr">
        <is>
          <t>HOW TO USE</t>
        </is>
      </c>
    </row>
    <row r="7">
      <c r="B7" s="2" t="inlineStr">
        <is>
          <t>1) Open the 'Assumptions' tab. Cells in BLUE are inputs you can change; YELLOW cells are the scenario levers.</t>
        </is>
      </c>
    </row>
    <row r="8">
      <c r="B8" s="2" t="inlineStr">
        <is>
          <t>2) The 'P&amp;L (Year 1)' tab builds three scenarios (Conservative / Base / Aggressive) from those inputs.</t>
        </is>
      </c>
    </row>
    <row r="9">
      <c r="B9" s="2" t="inlineStr">
        <is>
          <t>3) The 'Unit Economics' tab shows value per intro buyer, LTV:CAC and break-even — the core decision metrics.</t>
        </is>
      </c>
    </row>
    <row r="10">
      <c r="B10" s="2" t="inlineStr"/>
    </row>
    <row r="11">
      <c r="B11" s="2" t="inlineStr">
        <is>
          <t>COLOUR KEY:  blue = input   ·   black = formula   ·   green = link to another sheet   ·   yellow = scenario lever.</t>
        </is>
      </c>
    </row>
    <row r="12">
      <c r="B12" s="2" t="inlineStr"/>
    </row>
    <row r="13">
      <c r="B13" s="2" t="inlineStr">
        <is>
          <t>KEY ASSUMPTIONS &amp; SOURCES</t>
        </is>
      </c>
    </row>
    <row r="14">
      <c r="B14" s="2" t="inlineStr">
        <is>
          <t xml:space="preserve"> • Pricing = our agreed ladder (Bootcamp RM3,999 / Certificate RM18k / Diploma RM32k / Mastery RM48k; intro RM299).</t>
        </is>
      </c>
    </row>
    <row r="15">
      <c r="B15" s="2" t="inlineStr">
        <is>
          <t xml:space="preserve"> • Conversion rates = our target ladder economics (intro→bootcamp 25%, bootcamp→cert 20%, cert→dip 35%, dip→mastery 35%).</t>
        </is>
      </c>
    </row>
    <row r="16">
      <c r="B16" s="2" t="inlineStr">
        <is>
          <t xml:space="preserve"> • Market benchmark (MY/SG 2026) informs pricing: MY workshops RM2–8k, diplomas RM15–30k, bachelor ~RM76.8k;</t>
        </is>
      </c>
    </row>
    <row r="17">
      <c r="B17" s="2" t="inlineStr">
        <is>
          <t xml:space="preserve">   SG short GenAI ~S$2,180 (Sources: drhariz.com, MDEC, Pertama Partners, Vertical Institute, SIT).</t>
        </is>
      </c>
    </row>
    <row r="18">
      <c r="B18" s="2" t="inlineStr">
        <is>
          <t xml:space="preserve"> • Cora AI Film Studio value prop: up to 80% cost reduction vs traditional → modelled at ~70% film gross margin.</t>
        </is>
      </c>
    </row>
    <row r="19">
      <c r="B19" s="2" t="inlineStr">
        <is>
          <t xml:space="preserve"> • Tool = individual Cora AI Gateway plan (RM99/mo assumed), ~70% B2C gross margin (per Cora pricing doc).</t>
        </is>
      </c>
    </row>
    <row r="20">
      <c r="B20" s="2" t="inlineStr">
        <is>
          <t xml:space="preserve"> • Long programs (Cert/Diploma/Mastery) recognised over their delivery period — see 'Yr-1 recognition %' inputs.</t>
        </is>
      </c>
    </row>
    <row r="21">
      <c r="B21" s="2" t="inlineStr">
        <is>
          <t xml:space="preserve"> • RECOGNISED revenue (delivery-based) is the P&amp;L basis; BOOKINGS (full contract value) shown as a memo line.</t>
        </is>
      </c>
    </row>
    <row r="22">
      <c r="B22" s="2" t="inlineStr"/>
    </row>
    <row r="23">
      <c r="B23" s="2" t="inlineStr">
        <is>
          <t>CAVEAT: Volumes, conversion and cost inputs are planning estimates, not commitments. Replace with real cohort data after Q3 pilots.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ASSUMPTIONS  (blue = input · yellow = scenario lever)</t>
        </is>
      </c>
    </row>
    <row r="3">
      <c r="A3" s="4" t="inlineStr">
        <is>
          <t>PRICING (RM)</t>
        </is>
      </c>
      <c r="B3" s="5" t="n"/>
      <c r="C3" s="5" t="n"/>
      <c r="D3" s="5" t="n"/>
      <c r="E3" s="5" t="n"/>
      <c r="F3" s="5" t="n"/>
      <c r="G3" s="5" t="n"/>
    </row>
    <row r="4">
      <c r="A4" s="6" t="inlineStr">
        <is>
          <t>Intro / Discovery price</t>
        </is>
      </c>
      <c r="B4" s="7" t="n">
        <v>299</v>
      </c>
    </row>
    <row r="5">
      <c r="A5" s="6" t="inlineStr">
        <is>
          <t>Bootcamp — Professionals (S2)</t>
        </is>
      </c>
      <c r="B5" s="7" t="n">
        <v>3999</v>
      </c>
    </row>
    <row r="6">
      <c r="A6" s="6" t="inlineStr">
        <is>
          <t>Bootcamp — Graduates (S1)</t>
        </is>
      </c>
      <c r="B6" s="7" t="n">
        <v>1799</v>
      </c>
    </row>
    <row r="7">
      <c r="A7" s="6" t="inlineStr">
        <is>
          <t>Bootcamp — % Professionals (S2)</t>
        </is>
      </c>
      <c r="B7" s="8" t="n">
        <v>0.55</v>
      </c>
    </row>
    <row r="8">
      <c r="A8" s="6" t="inlineStr">
        <is>
          <t>Certificate — Professionals (S2)</t>
        </is>
      </c>
      <c r="B8" s="7" t="n">
        <v>18000</v>
      </c>
    </row>
    <row r="9">
      <c r="A9" s="6" t="inlineStr">
        <is>
          <t>Certificate — Graduates (S1)</t>
        </is>
      </c>
      <c r="B9" s="7" t="n">
        <v>12000</v>
      </c>
    </row>
    <row r="10">
      <c r="A10" s="6" t="inlineStr">
        <is>
          <t>Certificate — % Professionals (S2)</t>
        </is>
      </c>
      <c r="B10" s="8" t="n">
        <v>0.45</v>
      </c>
    </row>
    <row r="11">
      <c r="A11" s="6" t="inlineStr">
        <is>
          <t>Diploma (2 yr)</t>
        </is>
      </c>
      <c r="B11" s="7" t="n">
        <v>32000</v>
      </c>
    </row>
    <row r="12">
      <c r="A12" s="6" t="inlineStr">
        <is>
          <t>Mastery / Founder Track (4 yr)</t>
        </is>
      </c>
      <c r="B12" s="7" t="n">
        <v>48000</v>
      </c>
    </row>
    <row r="13">
      <c r="A13" s="6" t="inlineStr">
        <is>
          <t>Tool plan — Cora AI Gateway (RM/mo)</t>
        </is>
      </c>
      <c r="B13" s="7" t="n">
        <v>99</v>
      </c>
    </row>
    <row r="14">
      <c r="A14" s="4" t="inlineStr">
        <is>
          <t>LADDER CONVERSION (base rates)</t>
        </is>
      </c>
      <c r="B14" s="5" t="n"/>
      <c r="C14" s="5" t="n"/>
      <c r="D14" s="5" t="n"/>
      <c r="E14" s="5" t="n"/>
      <c r="F14" s="5" t="n"/>
      <c r="G14" s="5" t="n"/>
    </row>
    <row r="15">
      <c r="A15" s="6" t="inlineStr">
        <is>
          <t>Intro → Bootcamp</t>
        </is>
      </c>
      <c r="B15" s="8" t="n">
        <v>0.25</v>
      </c>
    </row>
    <row r="16">
      <c r="A16" s="6" t="inlineStr">
        <is>
          <t>Bootcamp → Certificate</t>
        </is>
      </c>
      <c r="B16" s="8" t="n">
        <v>0.2</v>
      </c>
    </row>
    <row r="17">
      <c r="A17" s="6" t="inlineStr">
        <is>
          <t>Certificate → Diploma</t>
        </is>
      </c>
      <c r="B17" s="8" t="n">
        <v>0.35</v>
      </c>
    </row>
    <row r="18">
      <c r="A18" s="6" t="inlineStr">
        <is>
          <t>Diploma → Mastery</t>
        </is>
      </c>
      <c r="B18" s="8" t="n">
        <v>0.35</v>
      </c>
    </row>
    <row r="19">
      <c r="A19" s="4" t="inlineStr">
        <is>
          <t>TOOLS &amp; FILM</t>
        </is>
      </c>
      <c r="B19" s="5" t="n"/>
      <c r="C19" s="5" t="n"/>
      <c r="D19" s="5" t="n"/>
      <c r="E19" s="5" t="n"/>
      <c r="F19" s="5" t="n"/>
      <c r="G19" s="5" t="n"/>
    </row>
    <row r="20">
      <c r="A20" s="6" t="inlineStr">
        <is>
          <t>Tool avg paying months (Year 1)</t>
        </is>
      </c>
      <c r="B20" s="9" t="n">
        <v>6</v>
      </c>
    </row>
    <row r="21">
      <c r="A21" s="6" t="inlineStr">
        <is>
          <t>Tool lifetime months (for LTV)</t>
        </is>
      </c>
      <c r="B21" s="9" t="n">
        <v>18</v>
      </c>
    </row>
    <row r="22">
      <c r="A22" s="6" t="inlineStr">
        <is>
          <t>Tool gross margin</t>
        </is>
      </c>
      <c r="B22" s="8" t="n">
        <v>0.7</v>
      </c>
    </row>
    <row r="23">
      <c r="A23" s="10" t="inlineStr">
        <is>
          <t>(row 23 intentionally blank)</t>
        </is>
      </c>
    </row>
    <row r="24">
      <c r="A24" s="6" t="inlineStr">
        <is>
          <t>Avg film price (DFY)</t>
        </is>
      </c>
      <c r="B24" s="7" t="n">
        <v>50000</v>
      </c>
    </row>
    <row r="25">
      <c r="A25" s="6" t="inlineStr">
        <is>
          <t>Film gross margin (AI, ~80% cheaper)</t>
        </is>
      </c>
      <c r="B25" s="8" t="n">
        <v>0.7</v>
      </c>
    </row>
    <row r="26">
      <c r="A26" s="4" t="inlineStr">
        <is>
          <t>COSTS</t>
        </is>
      </c>
      <c r="B26" s="5" t="n"/>
      <c r="C26" s="5" t="n"/>
      <c r="D26" s="5" t="n"/>
      <c r="E26" s="5" t="n"/>
      <c r="F26" s="5" t="n"/>
      <c r="G26" s="5" t="n"/>
    </row>
    <row r="27">
      <c r="A27" s="6" t="inlineStr">
        <is>
          <t>Course delivery COGS (% of course rev)</t>
        </is>
      </c>
      <c r="B27" s="8" t="n">
        <v>0.35</v>
      </c>
    </row>
    <row r="28">
      <c r="A28" s="6" t="inlineStr">
        <is>
          <t>Brand / content marketing (fixed, /yr)</t>
        </is>
      </c>
      <c r="B28" s="7" t="n">
        <v>100000</v>
      </c>
    </row>
    <row r="29">
      <c r="A29" s="6" t="inlineStr">
        <is>
          <t>Team salaries (/yr)</t>
        </is>
      </c>
      <c r="B29" s="7" t="n">
        <v>720000</v>
      </c>
    </row>
    <row r="30">
      <c r="A30" s="6" t="inlineStr">
        <is>
          <t>Software / LMS / CRM / payments (/yr)</t>
        </is>
      </c>
      <c r="B30" s="7" t="n">
        <v>120000</v>
      </c>
    </row>
    <row r="31">
      <c r="A31" s="6" t="inlineStr">
        <is>
          <t>Legal / compliance (film + ISA, /yr)</t>
        </is>
      </c>
      <c r="B31" s="7" t="n">
        <v>80000</v>
      </c>
    </row>
    <row r="32">
      <c r="A32" s="6" t="inlineStr">
        <is>
          <t>G&amp;A / misc (/yr)</t>
        </is>
      </c>
      <c r="B32" s="7" t="n">
        <v>100000</v>
      </c>
    </row>
    <row r="33">
      <c r="A33" s="4" t="inlineStr">
        <is>
          <t>YEAR-1 REVENUE RECOGNITION (share delivered in Year 1)</t>
        </is>
      </c>
      <c r="B33" s="5" t="n"/>
      <c r="C33" s="5" t="n"/>
      <c r="D33" s="5" t="n"/>
      <c r="E33" s="5" t="n"/>
      <c r="F33" s="5" t="n"/>
      <c r="G33" s="5" t="n"/>
    </row>
    <row r="34">
      <c r="A34" s="6" t="inlineStr">
        <is>
          <t>Intro</t>
        </is>
      </c>
      <c r="B34" s="8" t="n">
        <v>1</v>
      </c>
    </row>
    <row r="35">
      <c r="A35" s="6" t="inlineStr">
        <is>
          <t>Bootcamp</t>
        </is>
      </c>
      <c r="B35" s="8" t="n">
        <v>1</v>
      </c>
    </row>
    <row r="36">
      <c r="A36" s="6" t="inlineStr">
        <is>
          <t>Certificate</t>
        </is>
      </c>
      <c r="B36" s="8" t="n">
        <v>0.5</v>
      </c>
    </row>
    <row r="37">
      <c r="A37" s="6" t="inlineStr">
        <is>
          <t>Diploma</t>
        </is>
      </c>
      <c r="B37" s="8" t="n">
        <v>0.25</v>
      </c>
    </row>
    <row r="38">
      <c r="A38" s="6" t="inlineStr">
        <is>
          <t>Mastery</t>
        </is>
      </c>
      <c r="B38" s="8" t="n">
        <v>0.125</v>
      </c>
    </row>
    <row r="40">
      <c r="D40" s="4" t="inlineStr">
        <is>
          <t>SCENARIO LEVERS</t>
        </is>
      </c>
      <c r="E40" s="4" t="inlineStr">
        <is>
          <t>Conservative</t>
        </is>
      </c>
      <c r="F40" s="4" t="inlineStr">
        <is>
          <t>Base</t>
        </is>
      </c>
      <c r="G40" s="4" t="inlineStr">
        <is>
          <t>Aggressive</t>
        </is>
      </c>
    </row>
    <row r="41">
      <c r="D41" s="6" t="inlineStr">
        <is>
          <t>Intro buyers (Year 1)</t>
        </is>
      </c>
      <c r="E41" s="11" t="n">
        <v>1000</v>
      </c>
      <c r="F41" s="11" t="n">
        <v>2000</v>
      </c>
      <c r="G41" s="11" t="n">
        <v>4000</v>
      </c>
    </row>
    <row r="42">
      <c r="D42" s="6" t="inlineStr">
        <is>
          <t>Conversion multiplier</t>
        </is>
      </c>
      <c r="E42" s="12" t="n">
        <v>0.7</v>
      </c>
      <c r="F42" s="12" t="n">
        <v>1</v>
      </c>
      <c r="G42" s="12" t="n">
        <v>1.2</v>
      </c>
    </row>
    <row r="43">
      <c r="D43" s="6" t="inlineStr">
        <is>
          <t>Films delivered (Year 1)</t>
        </is>
      </c>
      <c r="E43" s="11" t="n">
        <v>4</v>
      </c>
      <c r="F43" s="11" t="n">
        <v>8</v>
      </c>
      <c r="G43" s="11" t="n">
        <v>15</v>
      </c>
    </row>
    <row r="44">
      <c r="D44" s="6" t="inlineStr">
        <is>
          <t>Tool paid-conversion</t>
        </is>
      </c>
      <c r="E44" s="13" t="n">
        <v>0.3</v>
      </c>
      <c r="F44" s="13" t="n">
        <v>0.4</v>
      </c>
      <c r="G44" s="13" t="n">
        <v>0.5</v>
      </c>
    </row>
    <row r="45">
      <c r="D45" s="6" t="inlineStr">
        <is>
          <t>CAC per intro (RM)</t>
        </is>
      </c>
      <c r="E45" s="14" t="n">
        <v>200</v>
      </c>
      <c r="F45" s="14" t="n">
        <v>150</v>
      </c>
      <c r="G45" s="14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P&amp;L — YEAR 1 (recognised basis, RM)</t>
        </is>
      </c>
    </row>
    <row r="3">
      <c r="A3" s="15" t="inlineStr">
        <is>
          <t>Line item (RM)</t>
        </is>
      </c>
      <c r="B3" s="16" t="inlineStr">
        <is>
          <t>Conservative</t>
        </is>
      </c>
      <c r="C3" s="16" t="inlineStr">
        <is>
          <t>Base</t>
        </is>
      </c>
      <c r="D3" s="16" t="inlineStr">
        <is>
          <t>Aggressive</t>
        </is>
      </c>
    </row>
    <row r="4">
      <c r="A4" s="17" t="inlineStr">
        <is>
          <t>Volumes</t>
        </is>
      </c>
    </row>
    <row r="5">
      <c r="A5" s="6" t="inlineStr">
        <is>
          <t xml:space="preserve">  Intro buyers</t>
        </is>
      </c>
      <c r="B5" s="18">
        <f>Assumptions!E41</f>
        <v/>
      </c>
      <c r="C5" s="18">
        <f>Assumptions!F41</f>
        <v/>
      </c>
      <c r="D5" s="18">
        <f>Assumptions!G41</f>
        <v/>
      </c>
    </row>
    <row r="6">
      <c r="A6" s="6" t="inlineStr">
        <is>
          <t xml:space="preserve">  Bootcamp students</t>
        </is>
      </c>
      <c r="B6" s="18">
        <f>B5*Assumptions!$B$15*Assumptions!E42</f>
        <v/>
      </c>
      <c r="C6" s="18">
        <f>C5*Assumptions!$B$15*Assumptions!F42</f>
        <v/>
      </c>
      <c r="D6" s="18">
        <f>D5*Assumptions!$B$15*Assumptions!G42</f>
        <v/>
      </c>
    </row>
    <row r="7">
      <c r="A7" s="6" t="inlineStr">
        <is>
          <t xml:space="preserve">  Certificate students</t>
        </is>
      </c>
      <c r="B7" s="18">
        <f>B6*Assumptions!$B$16*Assumptions!E42</f>
        <v/>
      </c>
      <c r="C7" s="18">
        <f>C6*Assumptions!$B$16*Assumptions!F42</f>
        <v/>
      </c>
      <c r="D7" s="18">
        <f>D6*Assumptions!$B$16*Assumptions!G42</f>
        <v/>
      </c>
    </row>
    <row r="8">
      <c r="A8" s="6" t="inlineStr">
        <is>
          <t xml:space="preserve">  Diploma students</t>
        </is>
      </c>
      <c r="B8" s="18">
        <f>B7*Assumptions!$B$17*Assumptions!E42</f>
        <v/>
      </c>
      <c r="C8" s="18">
        <f>C7*Assumptions!$B$17*Assumptions!F42</f>
        <v/>
      </c>
      <c r="D8" s="18">
        <f>D7*Assumptions!$B$17*Assumptions!G42</f>
        <v/>
      </c>
    </row>
    <row r="9">
      <c r="A9" s="6" t="inlineStr">
        <is>
          <t xml:space="preserve">  Mastery students</t>
        </is>
      </c>
      <c r="B9" s="18">
        <f>B8*Assumptions!$B$18*Assumptions!E42</f>
        <v/>
      </c>
      <c r="C9" s="18">
        <f>C8*Assumptions!$B$18*Assumptions!F42</f>
        <v/>
      </c>
      <c r="D9" s="18">
        <f>D8*Assumptions!$B$18*Assumptions!G42</f>
        <v/>
      </c>
    </row>
    <row r="11">
      <c r="A11" s="17" t="inlineStr">
        <is>
          <t>Revenue — recognised</t>
        </is>
      </c>
    </row>
    <row r="12">
      <c r="A12" s="6" t="inlineStr">
        <is>
          <t xml:space="preserve">  Intro</t>
        </is>
      </c>
      <c r="B12" s="19">
        <f>B5*Assumptions!$B$4*Assumptions!$B$34</f>
        <v/>
      </c>
      <c r="C12" s="19">
        <f>C5*Assumptions!$B$4*Assumptions!$B$34</f>
        <v/>
      </c>
      <c r="D12" s="19">
        <f>D5*Assumptions!$B$4*Assumptions!$B$34</f>
        <v/>
      </c>
    </row>
    <row r="13">
      <c r="A13" s="6" t="inlineStr">
        <is>
          <t xml:space="preserve">  Bootcamp</t>
        </is>
      </c>
      <c r="B13" s="19">
        <f>B6*(Assumptions!$B$5*Assumptions!$B$7+Assumptions!$B$6*(1-Assumptions!$B$7))*Assumptions!$B$35</f>
        <v/>
      </c>
      <c r="C13" s="19">
        <f>C6*(Assumptions!$B$5*Assumptions!$B$7+Assumptions!$B$6*(1-Assumptions!$B$7))*Assumptions!$B$35</f>
        <v/>
      </c>
      <c r="D13" s="19">
        <f>D6*(Assumptions!$B$5*Assumptions!$B$7+Assumptions!$B$6*(1-Assumptions!$B$7))*Assumptions!$B$35</f>
        <v/>
      </c>
    </row>
    <row r="14">
      <c r="A14" s="6" t="inlineStr">
        <is>
          <t xml:space="preserve">  Certificate</t>
        </is>
      </c>
      <c r="B14" s="19">
        <f>B7*(Assumptions!$B$8*Assumptions!$B$10+Assumptions!$B$9*(1-Assumptions!$B$10))*Assumptions!$B$36</f>
        <v/>
      </c>
      <c r="C14" s="19">
        <f>C7*(Assumptions!$B$8*Assumptions!$B$10+Assumptions!$B$9*(1-Assumptions!$B$10))*Assumptions!$B$36</f>
        <v/>
      </c>
      <c r="D14" s="19">
        <f>D7*(Assumptions!$B$8*Assumptions!$B$10+Assumptions!$B$9*(1-Assumptions!$B$10))*Assumptions!$B$36</f>
        <v/>
      </c>
    </row>
    <row r="15">
      <c r="A15" s="6" t="inlineStr">
        <is>
          <t xml:space="preserve">  Diploma</t>
        </is>
      </c>
      <c r="B15" s="19">
        <f>B8*Assumptions!$B$11*Assumptions!$B$37</f>
        <v/>
      </c>
      <c r="C15" s="19">
        <f>C8*Assumptions!$B$11*Assumptions!$B$37</f>
        <v/>
      </c>
      <c r="D15" s="19">
        <f>D8*Assumptions!$B$11*Assumptions!$B$37</f>
        <v/>
      </c>
    </row>
    <row r="16">
      <c r="A16" s="6" t="inlineStr">
        <is>
          <t xml:space="preserve">  Mastery</t>
        </is>
      </c>
      <c r="B16" s="19">
        <f>B9*Assumptions!$B$12*Assumptions!$B$38</f>
        <v/>
      </c>
      <c r="C16" s="19">
        <f>C9*Assumptions!$B$12*Assumptions!$B$38</f>
        <v/>
      </c>
      <c r="D16" s="19">
        <f>D9*Assumptions!$B$12*Assumptions!$B$38</f>
        <v/>
      </c>
    </row>
    <row r="17">
      <c r="A17" s="20" t="inlineStr">
        <is>
          <t xml:space="preserve">  Course revenue</t>
        </is>
      </c>
      <c r="B17" s="21">
        <f>SUM(B12:B16)</f>
        <v/>
      </c>
      <c r="C17" s="21">
        <f>SUM(C12:C16)</f>
        <v/>
      </c>
      <c r="D17" s="21">
        <f>SUM(D12:D16)</f>
        <v/>
      </c>
    </row>
    <row r="18">
      <c r="A18" s="6" t="inlineStr">
        <is>
          <t xml:space="preserve">  Tool revenue (recurring)</t>
        </is>
      </c>
      <c r="B18" s="19">
        <f>B6*Assumptions!E44*Assumptions!$B$20*Assumptions!$B$13</f>
        <v/>
      </c>
      <c r="C18" s="19">
        <f>C6*Assumptions!F44*Assumptions!$B$20*Assumptions!$B$13</f>
        <v/>
      </c>
      <c r="D18" s="19">
        <f>D6*Assumptions!G44*Assumptions!$B$20*Assumptions!$B$13</f>
        <v/>
      </c>
    </row>
    <row r="19">
      <c r="A19" s="6" t="inlineStr">
        <is>
          <t xml:space="preserve">  Film revenue (DFY)</t>
        </is>
      </c>
      <c r="B19" s="19">
        <f>Assumptions!E43*Assumptions!$B$24</f>
        <v/>
      </c>
      <c r="C19" s="19">
        <f>Assumptions!F43*Assumptions!$B$24</f>
        <v/>
      </c>
      <c r="D19" s="19">
        <f>Assumptions!G43*Assumptions!$B$24</f>
        <v/>
      </c>
    </row>
    <row r="20">
      <c r="A20" s="20" t="inlineStr">
        <is>
          <t xml:space="preserve">  TOTAL REVENUE</t>
        </is>
      </c>
      <c r="B20" s="21">
        <f>B17+B18+B19</f>
        <v/>
      </c>
      <c r="C20" s="21">
        <f>C17+C18+C19</f>
        <v/>
      </c>
      <c r="D20" s="21">
        <f>D17+D18+D19</f>
        <v/>
      </c>
    </row>
    <row r="22">
      <c r="A22" s="17" t="inlineStr">
        <is>
          <t>Cost of delivery (COGS)</t>
        </is>
      </c>
    </row>
    <row r="23">
      <c r="A23" s="6" t="inlineStr">
        <is>
          <t xml:space="preserve">  Course COGS</t>
        </is>
      </c>
      <c r="B23" s="19">
        <f>B17*Assumptions!$B$27</f>
        <v/>
      </c>
      <c r="C23" s="19">
        <f>C17*Assumptions!$B$27</f>
        <v/>
      </c>
      <c r="D23" s="19">
        <f>D17*Assumptions!$B$27</f>
        <v/>
      </c>
    </row>
    <row r="24">
      <c r="A24" s="6" t="inlineStr">
        <is>
          <t xml:space="preserve">  Tool COGS</t>
        </is>
      </c>
      <c r="B24" s="19">
        <f>B18*(1-Assumptions!$B$22)</f>
        <v/>
      </c>
      <c r="C24" s="19">
        <f>C18*(1-Assumptions!$B$22)</f>
        <v/>
      </c>
      <c r="D24" s="19">
        <f>D18*(1-Assumptions!$B$22)</f>
        <v/>
      </c>
    </row>
    <row r="25">
      <c r="A25" s="6" t="inlineStr">
        <is>
          <t xml:space="preserve">  Film COGS</t>
        </is>
      </c>
      <c r="B25" s="19">
        <f>B19*(1-Assumptions!$B$25)</f>
        <v/>
      </c>
      <c r="C25" s="19">
        <f>C19*(1-Assumptions!$B$25)</f>
        <v/>
      </c>
      <c r="D25" s="19">
        <f>D19*(1-Assumptions!$B$25)</f>
        <v/>
      </c>
    </row>
    <row r="26">
      <c r="A26" s="20" t="inlineStr">
        <is>
          <t xml:space="preserve">  Total COGS</t>
        </is>
      </c>
      <c r="B26" s="21">
        <f>SUM(B23:B25)</f>
        <v/>
      </c>
      <c r="C26" s="21">
        <f>SUM(C23:C25)</f>
        <v/>
      </c>
      <c r="D26" s="21">
        <f>SUM(D23:D25)</f>
        <v/>
      </c>
    </row>
    <row r="27">
      <c r="A27" s="20" t="inlineStr">
        <is>
          <t xml:space="preserve">  GROSS PROFIT</t>
        </is>
      </c>
      <c r="B27" s="21">
        <f>B20-B26</f>
        <v/>
      </c>
      <c r="C27" s="21">
        <f>C20-C26</f>
        <v/>
      </c>
      <c r="D27" s="21">
        <f>D20-D26</f>
        <v/>
      </c>
    </row>
    <row r="28">
      <c r="A28" s="6" t="inlineStr">
        <is>
          <t xml:space="preserve">  Gross margin %</t>
        </is>
      </c>
      <c r="B28" s="22">
        <f>B27/B20</f>
        <v/>
      </c>
      <c r="C28" s="22">
        <f>C27/C20</f>
        <v/>
      </c>
      <c r="D28" s="22">
        <f>D27/D20</f>
        <v/>
      </c>
    </row>
    <row r="30">
      <c r="A30" s="17" t="inlineStr">
        <is>
          <t>Operating expenses</t>
        </is>
      </c>
    </row>
    <row r="31">
      <c r="A31" s="6" t="inlineStr">
        <is>
          <t xml:space="preserve">  Marketing (CAC × intro + brand)</t>
        </is>
      </c>
      <c r="B31" s="19">
        <f>B5*Assumptions!E45+Assumptions!$B$28</f>
        <v/>
      </c>
      <c r="C31" s="19">
        <f>C5*Assumptions!F45+Assumptions!$B$28</f>
        <v/>
      </c>
      <c r="D31" s="19">
        <f>D5*Assumptions!G45+Assumptions!$B$28</f>
        <v/>
      </c>
    </row>
    <row r="32">
      <c r="A32" s="6" t="inlineStr">
        <is>
          <t xml:space="preserve">  Team salaries</t>
        </is>
      </c>
      <c r="B32" s="19">
        <f>Assumptions!$B$29</f>
        <v/>
      </c>
      <c r="C32" s="19">
        <f>Assumptions!$B$29</f>
        <v/>
      </c>
      <c r="D32" s="19">
        <f>Assumptions!$B$29</f>
        <v/>
      </c>
    </row>
    <row r="33">
      <c r="A33" s="6" t="inlineStr">
        <is>
          <t xml:space="preserve">  Software / platform</t>
        </is>
      </c>
      <c r="B33" s="19">
        <f>Assumptions!$B$30</f>
        <v/>
      </c>
      <c r="C33" s="19">
        <f>Assumptions!$B$30</f>
        <v/>
      </c>
      <c r="D33" s="19">
        <f>Assumptions!$B$30</f>
        <v/>
      </c>
    </row>
    <row r="34">
      <c r="A34" s="6" t="inlineStr">
        <is>
          <t xml:space="preserve">  Legal / compliance</t>
        </is>
      </c>
      <c r="B34" s="19">
        <f>Assumptions!$B$31</f>
        <v/>
      </c>
      <c r="C34" s="19">
        <f>Assumptions!$B$31</f>
        <v/>
      </c>
      <c r="D34" s="19">
        <f>Assumptions!$B$31</f>
        <v/>
      </c>
    </row>
    <row r="35">
      <c r="A35" s="6" t="inlineStr">
        <is>
          <t xml:space="preserve">  G&amp;A / misc</t>
        </is>
      </c>
      <c r="B35" s="19">
        <f>Assumptions!$B$32</f>
        <v/>
      </c>
      <c r="C35" s="19">
        <f>Assumptions!$B$32</f>
        <v/>
      </c>
      <c r="D35" s="19">
        <f>Assumptions!$B$32</f>
        <v/>
      </c>
    </row>
    <row r="36">
      <c r="A36" s="20" t="inlineStr">
        <is>
          <t xml:space="preserve">  Total OpEx</t>
        </is>
      </c>
      <c r="B36" s="21">
        <f>SUM(B31:B35)</f>
        <v/>
      </c>
      <c r="C36" s="21">
        <f>SUM(C31:C35)</f>
        <v/>
      </c>
      <c r="D36" s="21">
        <f>SUM(D31:D35)</f>
        <v/>
      </c>
    </row>
    <row r="38">
      <c r="A38" s="20" t="inlineStr">
        <is>
          <t xml:space="preserve">  EBITDA</t>
        </is>
      </c>
      <c r="B38" s="23">
        <f>B27-B36</f>
        <v/>
      </c>
      <c r="C38" s="23">
        <f>C27-C36</f>
        <v/>
      </c>
      <c r="D38" s="23">
        <f>D27-D36</f>
        <v/>
      </c>
    </row>
    <row r="39">
      <c r="A39" s="6" t="inlineStr">
        <is>
          <t xml:space="preserve">  EBITDA margin %</t>
        </is>
      </c>
      <c r="B39" s="22">
        <f>B38/B20</f>
        <v/>
      </c>
      <c r="C39" s="22">
        <f>C38/C20</f>
        <v/>
      </c>
      <c r="D39" s="22">
        <f>D38/D20</f>
        <v/>
      </c>
    </row>
    <row r="41">
      <c r="A41" s="17" t="inlineStr">
        <is>
          <t>MEMO</t>
        </is>
      </c>
    </row>
    <row r="42">
      <c r="A42" s="6" t="inlineStr">
        <is>
          <t xml:space="preserve">  Course bookings (full contract value)</t>
        </is>
      </c>
      <c r="B42" s="19">
        <f>B5*Assumptions!$B$4+B6*(Assumptions!$B$5*Assumptions!$B$7+Assumptions!$B$6*(1-Assumptions!$B$7))+B7*(Assumptions!$B$8*Assumptions!$B$10+Assumptions!$B$9*(1-Assumptions!$B$10))+B8*Assumptions!$B$11+B9*Assumptions!$B$12</f>
        <v/>
      </c>
      <c r="C42" s="19">
        <f>C5*Assumptions!$B$4+C6*(Assumptions!$B$5*Assumptions!$B$7+Assumptions!$B$6*(1-Assumptions!$B$7))+C7*(Assumptions!$B$8*Assumptions!$B$10+Assumptions!$B$9*(1-Assumptions!$B$10))+C8*Assumptions!$B$11+C9*Assumptions!$B$12</f>
        <v/>
      </c>
      <c r="D42" s="19">
        <f>D5*Assumptions!$B$4+D6*(Assumptions!$B$5*Assumptions!$B$7+Assumptions!$B$6*(1-Assumptions!$B$7))+D7*(Assumptions!$B$8*Assumptions!$B$10+Assumptions!$B$9*(1-Assumptions!$B$10))+D8*Assumptions!$B$11+D9*Assumptions!$B$12</f>
        <v/>
      </c>
    </row>
    <row r="43">
      <c r="A43" s="24" t="inlineStr">
        <is>
          <t xml:space="preserve">  (recognised revenue above; bookings = total value signed, incl. future years)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>
      <c r="A1" s="3" t="inlineStr">
        <is>
          <t>UNIT ECONOMICS — per intro buyer (Base assumptions, RM)</t>
        </is>
      </c>
    </row>
    <row r="3">
      <c r="A3" s="4" t="inlineStr">
        <is>
          <t>Probability of reaching each rung</t>
        </is>
      </c>
      <c r="B3" s="5" t="n"/>
    </row>
    <row r="4">
      <c r="A4" s="6" t="inlineStr">
        <is>
          <t xml:space="preserve">  Intro</t>
        </is>
      </c>
      <c r="B4" s="22" t="n">
        <v>1</v>
      </c>
    </row>
    <row r="5">
      <c r="A5" s="6" t="inlineStr">
        <is>
          <t xml:space="preserve">  Bootcamp</t>
        </is>
      </c>
      <c r="B5" s="25">
        <f>Assumptions!$B$15*Assumptions!$F$42</f>
        <v/>
      </c>
    </row>
    <row r="6">
      <c r="A6" s="6" t="inlineStr">
        <is>
          <t xml:space="preserve">  Certificate</t>
        </is>
      </c>
      <c r="B6" s="22">
        <f>B5*Assumptions!$B$16*Assumptions!$F$42</f>
        <v/>
      </c>
    </row>
    <row r="7">
      <c r="A7" s="6" t="inlineStr">
        <is>
          <t xml:space="preserve">  Diploma</t>
        </is>
      </c>
      <c r="B7" s="22">
        <f>B6*Assumptions!$B$17*Assumptions!$F$42</f>
        <v/>
      </c>
    </row>
    <row r="8">
      <c r="A8" s="6" t="inlineStr">
        <is>
          <t xml:space="preserve">  Mastery</t>
        </is>
      </c>
      <c r="B8" s="22">
        <f>B7*Assumptions!$B$18*Assumptions!$F$42</f>
        <v/>
      </c>
    </row>
    <row r="10">
      <c r="A10" s="4" t="inlineStr">
        <is>
          <t>Revenue value per intro buyer (full price × probability)</t>
        </is>
      </c>
      <c r="B10" s="5" t="n"/>
    </row>
    <row r="11">
      <c r="A11" s="6" t="inlineStr">
        <is>
          <t xml:space="preserve">  Intro</t>
        </is>
      </c>
      <c r="B11" s="19">
        <f>B4*Assumptions!$B$4</f>
        <v/>
      </c>
    </row>
    <row r="12">
      <c r="A12" s="6" t="inlineStr">
        <is>
          <t xml:space="preserve">  Bootcamp</t>
        </is>
      </c>
      <c r="B12" s="19">
        <f>B5*(Assumptions!$B$5*Assumptions!$B$7+Assumptions!$B$6*(1-Assumptions!$B$7))</f>
        <v/>
      </c>
    </row>
    <row r="13">
      <c r="A13" s="6" t="inlineStr">
        <is>
          <t xml:space="preserve">  Certificate</t>
        </is>
      </c>
      <c r="B13" s="19">
        <f>B6*(Assumptions!$B$8*Assumptions!$B$10+Assumptions!$B$9*(1-Assumptions!$B$10))</f>
        <v/>
      </c>
    </row>
    <row r="14">
      <c r="A14" s="6" t="inlineStr">
        <is>
          <t xml:space="preserve">  Diploma</t>
        </is>
      </c>
      <c r="B14" s="19">
        <f>B7*Assumptions!$B$11</f>
        <v/>
      </c>
    </row>
    <row r="15">
      <c r="A15" s="6" t="inlineStr">
        <is>
          <t xml:space="preserve">  Mastery</t>
        </is>
      </c>
      <c r="B15" s="19">
        <f>B8*Assumptions!$B$12</f>
        <v/>
      </c>
    </row>
    <row r="16">
      <c r="A16" s="20" t="inlineStr">
        <is>
          <t xml:space="preserve">  Course LTV / intro buyer</t>
        </is>
      </c>
      <c r="B16" s="21">
        <f>SUM(B11:B15)</f>
        <v/>
      </c>
    </row>
    <row r="17">
      <c r="A17" s="6" t="inlineStr">
        <is>
          <t xml:space="preserve">  Tool LTV / intro buyer</t>
        </is>
      </c>
      <c r="B17" s="19">
        <f>B5*Assumptions!$F$44*Assumptions!$B$13*Assumptions!$B$21</f>
        <v/>
      </c>
    </row>
    <row r="18">
      <c r="A18" s="20" t="inlineStr">
        <is>
          <t xml:space="preserve">  TOTAL revenue LTV / intro buyer</t>
        </is>
      </c>
      <c r="B18" s="23">
        <f>B16+B17</f>
        <v/>
      </c>
    </row>
    <row r="20">
      <c r="A20" s="4" t="inlineStr">
        <is>
          <t>Contribution &amp; returns</t>
        </is>
      </c>
      <c r="B20" s="5" t="n"/>
    </row>
    <row r="21">
      <c r="A21" s="6" t="inlineStr">
        <is>
          <t xml:space="preserve">  Course contribution / intro</t>
        </is>
      </c>
      <c r="B21" s="19">
        <f>B16*(1-Assumptions!$B$27)</f>
        <v/>
      </c>
    </row>
    <row r="22">
      <c r="A22" s="6" t="inlineStr">
        <is>
          <t xml:space="preserve">  Tool contribution / intro</t>
        </is>
      </c>
      <c r="B22" s="19">
        <f>B17*Assumptions!$B$22</f>
        <v/>
      </c>
    </row>
    <row r="23">
      <c r="A23" s="20" t="inlineStr">
        <is>
          <t xml:space="preserve">  TOTAL contribution LTV / intro</t>
        </is>
      </c>
      <c r="B23" s="21">
        <f>B21+B22</f>
        <v/>
      </c>
    </row>
    <row r="24">
      <c r="A24" s="6" t="inlineStr">
        <is>
          <t xml:space="preserve">  CAC per intro (Base)</t>
        </is>
      </c>
      <c r="B24" s="26">
        <f>Assumptions!$F$45</f>
        <v/>
      </c>
    </row>
    <row r="25">
      <c r="A25" s="20" t="inlineStr">
        <is>
          <t xml:space="preserve">  LTV : CAC (contribution)</t>
        </is>
      </c>
      <c r="B25" s="27">
        <f>B23/B24</f>
        <v/>
      </c>
    </row>
    <row r="26">
      <c r="A26" s="6" t="inlineStr">
        <is>
          <t xml:space="preserve">  LTV : CAC (revenue)</t>
        </is>
      </c>
      <c r="B26" s="28">
        <f>B18/B24</f>
        <v/>
      </c>
    </row>
    <row r="27">
      <c r="A27" s="6" t="inlineStr">
        <is>
          <t xml:space="preserve">  First sale covers CAC? (intro − CAC)</t>
        </is>
      </c>
      <c r="B27" s="19">
        <f>Assumptions!$B$4-B24</f>
        <v/>
      </c>
    </row>
    <row r="29">
      <c r="A29" s="4" t="inlineStr">
        <is>
          <t>Break-even (Year-1 basis, base margins, volume the only variable)</t>
        </is>
      </c>
      <c r="B29" s="5" t="n"/>
    </row>
    <row r="30">
      <c r="A30" s="6" t="inlineStr">
        <is>
          <t xml:space="preserve">  Fixed OpEx / yr</t>
        </is>
      </c>
      <c r="B30" s="26">
        <f>Assumptions!$B$28+Assumptions!$B$29+Assumptions!$B$30+Assumptions!$B$31+Assumptions!$B$32</f>
        <v/>
      </c>
    </row>
    <row r="31">
      <c r="A31" s="6" t="inlineStr">
        <is>
          <t xml:space="preserve">  Film gross profit (base, offsets fixed)</t>
        </is>
      </c>
      <c r="B31" s="26">
        <f>'P&amp;L (Year 1)'!C19*Assumptions!$B$25</f>
        <v/>
      </c>
    </row>
    <row r="32">
      <c r="A32" s="6" t="inlineStr">
        <is>
          <t xml:space="preserve">  Course+Tool GP per intro (base)</t>
        </is>
      </c>
      <c r="B32" s="26">
        <f>('P&amp;L (Year 1)'!C17*(1-Assumptions!$B$27)+'P&amp;L (Year 1)'!C18*Assumptions!$B$22)/'P&amp;L (Year 1)'!C5</f>
        <v/>
      </c>
    </row>
    <row r="33">
      <c r="A33" s="20" t="inlineStr">
        <is>
          <t xml:space="preserve">  Break-even intro buyers / yr</t>
        </is>
      </c>
      <c r="B33" s="29">
        <f>(B30-B31)/(B32-Assumptions!$F$45)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2026-07-28T05:18:56Z</dcterms:created>
  <dcterms:modified xmlns:dcterms="http://purl.org/dc/terms/" xmlns:xsi="http://www.w3.org/2001/XMLSchema-instance" xsi:type="dcterms:W3CDTF">2026-07-28T05:18:56Z</dcterms:modified>
</cp:coreProperties>
</file>